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91E9E3AE-DA3D-4FA7-AE6C-F5FEDDD946F6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en" sheetId="4" r:id="rId2"/>
    <sheet name="Sheet2" sheetId="2" r:id="rId3"/>
    <sheet name="Sheet3" sheetId="3" r:id="rId4"/>
  </sheets>
  <calcPr calcId="181029"/>
</workbook>
</file>

<file path=xl/calcChain.xml><?xml version="1.0" encoding="utf-8"?>
<calcChain xmlns="http://schemas.openxmlformats.org/spreadsheetml/2006/main">
  <c r="E32" i="1" l="1"/>
  <c r="I32" i="1" s="1"/>
  <c r="M32" i="1" s="1"/>
  <c r="N32" i="1" l="1"/>
  <c r="O32" i="1" s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/>
  <c r="Q16" i="4" s="1"/>
  <c r="M24" i="4"/>
  <c r="O24" i="4" s="1"/>
  <c r="P24" i="4" s="1"/>
  <c r="Q24" i="4" s="1"/>
  <c r="M9" i="4"/>
  <c r="O9" i="4" s="1"/>
  <c r="P9" i="4"/>
  <c r="Q9" i="4" s="1"/>
  <c r="M21" i="4"/>
  <c r="O21" i="4" s="1"/>
  <c r="P21" i="4" s="1"/>
  <c r="Q21" i="4" s="1"/>
  <c r="M5" i="4"/>
  <c r="O5" i="4" s="1"/>
  <c r="P5" i="4"/>
  <c r="Q5" i="4" s="1"/>
  <c r="M31" i="4"/>
  <c r="O31" i="4" s="1"/>
  <c r="P31" i="4" s="1"/>
  <c r="Q31" i="4" s="1"/>
  <c r="M18" i="4"/>
  <c r="O18" i="4" s="1"/>
  <c r="Q18" i="4"/>
  <c r="P18" i="4"/>
  <c r="M26" i="4"/>
  <c r="O26" i="4" s="1"/>
  <c r="P26" i="4" s="1"/>
  <c r="Q26" i="4" s="1"/>
  <c r="M10" i="4"/>
  <c r="O10" i="4" s="1"/>
  <c r="P10" i="4"/>
  <c r="Q10" i="4"/>
  <c r="M28" i="4"/>
  <c r="O28" i="4" s="1"/>
  <c r="P28" i="4" s="1"/>
  <c r="Q28" i="4" s="1"/>
  <c r="M11" i="4"/>
  <c r="O11" i="4" s="1"/>
  <c r="P11" i="4" s="1"/>
  <c r="Q11" i="4" s="1"/>
  <c r="M30" i="4"/>
  <c r="O30" i="4" s="1"/>
  <c r="P30" i="4"/>
  <c r="Q30" i="4" s="1"/>
  <c r="M25" i="4"/>
  <c r="O25" i="4" s="1"/>
  <c r="P25" i="4"/>
  <c r="Q25" i="4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<sst xmlns="http://schemas.openxmlformats.org/spreadsheetml/2006/main" count="273" uniqueCount="106">
  <si>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</si>
  <si>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</si>
  <si>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</si>
  <si>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</si>
  <si>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</si>
  <si>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</si>
  <si>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</si>
  <si>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</si>
  <si>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</si>
  <si>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</si>
  <si>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</si>
  <si>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</si>
  <si>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</si>
  <si>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</si>
  <si>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</si>
  <si>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</si>
  <si>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</si>
  <si>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</si>
  <si>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</si>
  <si>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</si>
  <si>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</si>
  <si>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</si>
  <si>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</si>
  <si>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</si>
  <si>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</si>
  <si>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</si>
  <si>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</si>
  <si>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</si>
  <si>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</si>
  <si>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</si>
  <si>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</si>
  <si>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</si>
  <si>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</si>
  <si>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</si>
  <si>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</si>
  <si>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</si>
  <si>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</si>
  <si>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</si>
  <si>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</si>
  <si>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</si>
  <si>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</si>
  <si>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</si>
  <si>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</si>
  <si>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</si>
  <si>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</si>
  <si>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</si>
  <si>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</si>
  <si>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</si>
  <si>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</si>
  <si>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</si>
  <si>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</si>
  <si>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</si>
  <si>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</si>
  <si>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</si>
  <si>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</si>
  <si>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</si>
  <si>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</si>
  <si>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</si>
  <si>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</si>
  <si>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</si>
  <si>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</si>
  <si>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</si>
  <si>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</si>
  <si>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</si>
  <si>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</si>
  <si>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</si>
  <si>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</si>
  <si>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</si>
  <si>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</si>
  <si>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</si>
  <si>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</si>
  <si>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</si>
  <si>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</si>
  <si>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</si>
  <si>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</si>
  <si>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1日金曜 美咲</t>
  </si>
  <si>
    <t>2日土曜 美咲、弓月</t>
  </si>
  <si>
    <t>8日金曜 美咲</t>
  </si>
  <si>
    <t>9日土曜 美咲、ことみ</t>
  </si>
  <si>
    <t>12日火曜 イリヤ</t>
  </si>
  <si>
    <t>13日水曜 柘榴</t>
  </si>
  <si>
    <t>14日木曜 カナ</t>
  </si>
  <si>
    <t>19日火曜 柘榴</t>
  </si>
  <si>
    <t>27日水曜 柘榴</t>
  </si>
  <si>
    <t>3日日曜 未定</t>
  </si>
  <si>
    <t>4日月曜 お休み</t>
  </si>
  <si>
    <t>5日火曜 柘榴</t>
  </si>
  <si>
    <t>6日水曜 カナ</t>
  </si>
  <si>
    <t>7日木曜 イリヤ</t>
  </si>
  <si>
    <t>10日日曜 柘榴</t>
  </si>
  <si>
    <t>11日月曜 カナ</t>
  </si>
  <si>
    <t>15日金曜 美咲、ロキ</t>
  </si>
  <si>
    <t>16日土曜 美咲、イリヤ</t>
  </si>
  <si>
    <t>17日日曜 カナ</t>
  </si>
  <si>
    <t>18日月曜 お休み</t>
  </si>
  <si>
    <t>20日水曜 カナ</t>
  </si>
  <si>
    <t>21日木曜 未定</t>
  </si>
  <si>
    <t>22日金曜 イリヤ</t>
  </si>
  <si>
    <t>23日土曜 イリヤ、ののか</t>
  </si>
  <si>
    <t>24日日曜 柘榴</t>
  </si>
  <si>
    <t>25日月曜 カナ</t>
  </si>
  <si>
    <t>26日火曜 イリヤ</t>
  </si>
  <si>
    <t>28日木曜 カナ</t>
  </si>
  <si>
    <t>29日金曜 美咲</t>
  </si>
  <si>
    <t>30日土曜 美咲、ことみ</t>
  </si>
  <si>
    <t>31日日曜 カナ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</si>
</sst>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tabSelected="1" topLeftCell="E21" workbookViewId="0">
      <selection activeCell="O32" sqref="O2:O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1日(金曜 美咲</v>
      </c>
      <c r="F2" s="2">
        <v>5</v>
      </c>
      <c r="G2" s="2">
        <v>1</v>
      </c>
      <c r="H2" s="2" t="s">
        <v>37</v>
      </c>
      <c r="I2" s="2" t="str">
        <f>REPLACE(E2,F2,G2,H2)</f>
        <v>1日(金)&lt;/td&gt;&lt;td&gt; 美咲</v>
      </c>
      <c r="J2" s="2">
        <v>4</v>
      </c>
      <c r="K2" s="2">
        <v>1</v>
      </c>
      <c r="L2" s="2" t="s">
        <v>37</v>
      </c>
      <c r="M2" s="2" t="str">
        <f>MID(I2,J2,K2)</f>
        <v>金</v>
      </c>
      <c r="N2" s="2" t="str">
        <f t="shared" ref="N2:N11" si="0">IF(OR(M2="土", M2="日"), "&lt;tr class='weekend'&gt;&lt;td&gt;"&amp;I2, "&lt;tr&gt;&lt;td&gt;"&amp;I2)</f>
        <v>&lt;tr&gt;&lt;td&gt;1日(金)&lt;/td&gt;&lt;td&gt; 美咲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&lt;tr&gt;&lt;td&gt;1日(金)&lt;/td&gt;&lt;td&gt; 美咲&lt;/td&gt;&lt;/tr&gt;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2日(土曜 美咲、弓月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2日(土)&lt;/td&gt;&lt;td&gt; 美咲、弓月</v>
      </c>
      <c r="J3" s="2">
        <v>4</v>
      </c>
      <c r="K3" s="2">
        <v>1</v>
      </c>
      <c r="L3" s="2" t="s">
        <v>37</v>
      </c>
      <c r="M3" s="2" t="str">
        <f t="shared" ref="M3:M31" si="4">MID(I3,J3,K3)</f>
        <v>土</v>
      </c>
      <c r="N3" s="2" t="str">
        <f t="shared" si="0"/>
        <v>&lt;tr class='weekend'&gt;&lt;td&gt;2日(土)&lt;/td&gt;&lt;td&gt; 美咲、弓月</v>
      </c>
      <c r="O3" t="str">
        <f t="shared" si="1"/>
        <v>&lt;tr class='weekend'&gt;&lt;td&gt;2日(土)&lt;/td&gt;&lt;td&gt; 美咲、弓月&lt;/td&gt;&lt;/tr&gt;</v>
      </c>
    </row>
    <row r="4" spans="1:15" ht="18" x14ac:dyDescent="0.2">
      <c r="A4" s="8" t="s">
        <v>84</v>
      </c>
      <c r="B4" s="2">
        <v>2</v>
      </c>
      <c r="C4" s="2">
        <v>1</v>
      </c>
      <c r="D4" s="2" t="s">
        <v>36</v>
      </c>
      <c r="E4" s="2" t="str">
        <f t="shared" si="2"/>
        <v>3日(日曜 未定</v>
      </c>
      <c r="F4" s="2">
        <v>5</v>
      </c>
      <c r="G4" s="2">
        <v>1</v>
      </c>
      <c r="H4" s="2" t="s">
        <v>37</v>
      </c>
      <c r="I4" s="2" t="str">
        <f t="shared" si="3"/>
        <v>3日(日)&lt;/td&gt;&lt;td&gt; 未定</v>
      </c>
      <c r="J4" s="2">
        <v>4</v>
      </c>
      <c r="K4" s="2">
        <v>1</v>
      </c>
      <c r="L4" s="2" t="s">
        <v>37</v>
      </c>
      <c r="M4" s="2" t="str">
        <f t="shared" si="4"/>
        <v>日</v>
      </c>
      <c r="N4" s="2" t="str">
        <f t="shared" si="0"/>
        <v>&lt;tr class='weekend'&gt;&lt;td&gt;3日(日)&lt;/td&gt;&lt;td&gt; 未定</v>
      </c>
      <c r="O4" t="str">
        <f t="shared" si="1"/>
        <v>&lt;tr class='weekend'&gt;&lt;td&gt;3日(日)&lt;/td&gt;&lt;td&gt; 未定&lt;span class='event_font'&gt;&amp;nbsp&amp;nbspセット料金半額DAY!&lt;/span&gt;&lt;/td&gt;&lt;/tr&gt;</v>
      </c>
    </row>
    <row r="5" spans="1:15" ht="18" x14ac:dyDescent="0.2">
      <c r="A5" s="8" t="s">
        <v>85</v>
      </c>
      <c r="B5" s="2">
        <v>2</v>
      </c>
      <c r="C5" s="2">
        <v>1</v>
      </c>
      <c r="D5" s="2" t="s">
        <v>36</v>
      </c>
      <c r="E5" s="2" t="str">
        <f t="shared" si="2"/>
        <v>4日(月曜 お休み</v>
      </c>
      <c r="F5" s="2">
        <v>5</v>
      </c>
      <c r="G5" s="2">
        <v>1</v>
      </c>
      <c r="H5" s="2" t="s">
        <v>37</v>
      </c>
      <c r="I5" s="2" t="str">
        <f t="shared" si="3"/>
        <v>4日(月)&lt;/td&gt;&lt;td&gt; お休み</v>
      </c>
      <c r="J5" s="2">
        <v>4</v>
      </c>
      <c r="K5" s="2">
        <v>1</v>
      </c>
      <c r="L5" s="2" t="s">
        <v>37</v>
      </c>
      <c r="M5" s="2" t="str">
        <f t="shared" si="4"/>
        <v>月</v>
      </c>
      <c r="N5" s="2" t="str">
        <f t="shared" si="0"/>
        <v>&lt;tr&gt;&lt;td&gt;4日(月)&lt;/td&gt;&lt;td&gt; お休み</v>
      </c>
      <c r="O5" t="str">
        <f t="shared" si="1"/>
        <v>&lt;tr&gt;&lt;td&gt;4日(月)&lt;/td&gt;&lt;td&gt; お休み&lt;/td&gt;&lt;/tr&gt;</v>
      </c>
    </row>
    <row r="6" spans="1:15" ht="18" x14ac:dyDescent="0.2">
      <c r="A6" s="8" t="s">
        <v>86</v>
      </c>
      <c r="B6" s="2">
        <v>2</v>
      </c>
      <c r="C6" s="2">
        <v>1</v>
      </c>
      <c r="D6" s="2" t="s">
        <v>36</v>
      </c>
      <c r="E6" s="2" t="str">
        <f t="shared" si="2"/>
        <v>5日(火曜 柘榴</v>
      </c>
      <c r="F6" s="2">
        <v>5</v>
      </c>
      <c r="G6" s="2">
        <v>1</v>
      </c>
      <c r="H6" s="2" t="s">
        <v>37</v>
      </c>
      <c r="I6" s="2" t="str">
        <f t="shared" si="3"/>
        <v>5日(火)&lt;/td&gt;&lt;td&gt; 柘榴</v>
      </c>
      <c r="J6" s="2">
        <v>4</v>
      </c>
      <c r="K6" s="2">
        <v>1</v>
      </c>
      <c r="L6" s="2" t="s">
        <v>37</v>
      </c>
      <c r="M6" s="2" t="str">
        <f t="shared" si="4"/>
        <v>火</v>
      </c>
      <c r="N6" s="2" t="str">
        <f t="shared" si="0"/>
        <v>&lt;tr&gt;&lt;td&gt;5日(火)&lt;/td&gt;&lt;td&gt; 柘榴</v>
      </c>
      <c r="O6" t="str">
        <f t="shared" si="1"/>
        <v>&lt;tr&gt;&lt;td&gt;5日(火)&lt;/td&gt;&lt;td&gt; 柘榴&lt;/td&gt;&lt;/tr&gt;</v>
      </c>
    </row>
    <row r="7" spans="1:15" ht="18" x14ac:dyDescent="0.2">
      <c r="A7" s="8" t="s">
        <v>87</v>
      </c>
      <c r="B7" s="2">
        <v>2</v>
      </c>
      <c r="C7" s="2">
        <v>1</v>
      </c>
      <c r="D7" s="2" t="s">
        <v>36</v>
      </c>
      <c r="E7" s="2" t="str">
        <f t="shared" si="2"/>
        <v>6日(水曜 カナ</v>
      </c>
      <c r="F7" s="2">
        <v>5</v>
      </c>
      <c r="G7" s="2">
        <v>1</v>
      </c>
      <c r="H7" s="2" t="s">
        <v>37</v>
      </c>
      <c r="I7" s="2" t="str">
        <f t="shared" si="3"/>
        <v>6日(水)&lt;/td&gt;&lt;td&gt; カナ</v>
      </c>
      <c r="J7" s="2">
        <v>4</v>
      </c>
      <c r="K7" s="2">
        <v>1</v>
      </c>
      <c r="L7" s="2" t="s">
        <v>37</v>
      </c>
      <c r="M7" s="2" t="str">
        <f t="shared" si="4"/>
        <v>水</v>
      </c>
      <c r="N7" s="2" t="str">
        <f t="shared" si="0"/>
        <v>&lt;tr&gt;&lt;td&gt;6日(水)&lt;/td&gt;&lt;td&gt; カナ</v>
      </c>
      <c r="O7" t="str">
        <f t="shared" si="1"/>
        <v>&lt;tr&gt;&lt;td&gt;6日(水)&lt;/td&gt;&lt;td&gt; カナ&lt;/td&gt;&lt;/tr&gt;</v>
      </c>
    </row>
    <row r="8" spans="1:15" ht="18" x14ac:dyDescent="0.2">
      <c r="A8" s="8" t="s">
        <v>88</v>
      </c>
      <c r="B8" s="2">
        <v>2</v>
      </c>
      <c r="C8" s="2">
        <v>1</v>
      </c>
      <c r="D8" s="2" t="s">
        <v>36</v>
      </c>
      <c r="E8" s="2" t="str">
        <f t="shared" si="2"/>
        <v>7日(木曜 イリヤ</v>
      </c>
      <c r="F8" s="2">
        <v>5</v>
      </c>
      <c r="G8" s="2">
        <v>1</v>
      </c>
      <c r="H8" s="2" t="s">
        <v>37</v>
      </c>
      <c r="I8" s="2" t="str">
        <f t="shared" si="3"/>
        <v>7日(木)&lt;/td&gt;&lt;td&gt; イリヤ</v>
      </c>
      <c r="J8" s="2">
        <v>4</v>
      </c>
      <c r="K8" s="2">
        <v>1</v>
      </c>
      <c r="L8" s="2" t="s">
        <v>37</v>
      </c>
      <c r="M8" s="2" t="str">
        <f t="shared" si="4"/>
        <v>木</v>
      </c>
      <c r="N8" s="2" t="str">
        <f t="shared" si="0"/>
        <v>&lt;tr&gt;&lt;td&gt;7日(木)&lt;/td&gt;&lt;td&gt; イリヤ</v>
      </c>
      <c r="O8" t="str">
        <f t="shared" si="1"/>
        <v>&lt;tr&gt;&lt;td&gt;7日(木)&lt;/td&gt;&lt;td&gt; イリヤ&lt;/td&gt;&lt;/tr&gt;</v>
      </c>
    </row>
    <row r="9" spans="1:15" ht="18" x14ac:dyDescent="0.2">
      <c r="A9" s="8" t="s">
        <v>77</v>
      </c>
      <c r="B9" s="2">
        <v>2</v>
      </c>
      <c r="C9" s="2">
        <v>1</v>
      </c>
      <c r="D9" s="2" t="s">
        <v>36</v>
      </c>
      <c r="E9" s="2" t="str">
        <f t="shared" si="2"/>
        <v>8日(金曜 美咲</v>
      </c>
      <c r="F9" s="2">
        <v>5</v>
      </c>
      <c r="G9" s="2">
        <v>1</v>
      </c>
      <c r="H9" s="2" t="s">
        <v>37</v>
      </c>
      <c r="I9" s="2" t="str">
        <f t="shared" si="3"/>
        <v>8日(金)&lt;/td&gt;&lt;td&gt; 美咲</v>
      </c>
      <c r="J9" s="2">
        <v>4</v>
      </c>
      <c r="K9" s="2">
        <v>1</v>
      </c>
      <c r="L9" s="2" t="s">
        <v>37</v>
      </c>
      <c r="M9" s="2" t="str">
        <f t="shared" si="4"/>
        <v>金</v>
      </c>
      <c r="N9" s="2" t="str">
        <f t="shared" si="0"/>
        <v>&lt;tr&gt;&lt;td&gt;8日(金)&lt;/td&gt;&lt;td&gt; 美咲</v>
      </c>
      <c r="O9" t="str">
        <f t="shared" si="1"/>
        <v>&lt;tr&gt;&lt;td&gt;8日(金)&lt;/td&gt;&lt;td&gt; 美咲&lt;/td&gt;&lt;/tr&gt;</v>
      </c>
    </row>
    <row r="10" spans="1:15" ht="18" x14ac:dyDescent="0.2">
      <c r="A10" s="8" t="s">
        <v>78</v>
      </c>
      <c r="B10" s="2">
        <v>2</v>
      </c>
      <c r="C10" s="2">
        <v>1</v>
      </c>
      <c r="D10" s="2" t="s">
        <v>36</v>
      </c>
      <c r="E10" s="2" t="str">
        <f t="shared" si="2"/>
        <v>9日(土曜 美咲、ことみ</v>
      </c>
      <c r="F10" s="2">
        <v>5</v>
      </c>
      <c r="G10" s="2">
        <v>1</v>
      </c>
      <c r="H10" s="2" t="s">
        <v>37</v>
      </c>
      <c r="I10" s="2" t="str">
        <f t="shared" si="3"/>
        <v>9日(土)&lt;/td&gt;&lt;td&gt; 美咲、ことみ</v>
      </c>
      <c r="J10" s="2">
        <v>4</v>
      </c>
      <c r="K10" s="2">
        <v>1</v>
      </c>
      <c r="L10" s="2" t="s">
        <v>37</v>
      </c>
      <c r="M10" s="2" t="str">
        <f t="shared" si="4"/>
        <v>土</v>
      </c>
      <c r="N10" s="2" t="str">
        <f t="shared" si="0"/>
        <v>&lt;tr class='weekend'&gt;&lt;td&gt;9日(土)&lt;/td&gt;&lt;td&gt; 美咲、ことみ</v>
      </c>
      <c r="O10" t="str">
        <f t="shared" si="1"/>
        <v>&lt;tr class='weekend'&gt;&lt;td&gt;9日(土)&lt;/td&gt;&lt;td&gt; 美咲、ことみ&lt;/td&gt;&lt;/tr&gt;</v>
      </c>
    </row>
    <row r="11" spans="1:15" ht="18" x14ac:dyDescent="0.2">
      <c r="A11" s="8" t="s">
        <v>89</v>
      </c>
      <c r="B11" s="2">
        <v>3</v>
      </c>
      <c r="C11" s="2">
        <v>1</v>
      </c>
      <c r="D11" s="2" t="s">
        <v>36</v>
      </c>
      <c r="E11" s="2" t="str">
        <f>REPLACE(A11,B11,C11,D11)</f>
        <v>10日(日曜 柘榴</v>
      </c>
      <c r="F11" s="2">
        <v>6</v>
      </c>
      <c r="G11" s="2">
        <v>1</v>
      </c>
      <c r="H11" s="2" t="s">
        <v>37</v>
      </c>
      <c r="I11" s="2" t="str">
        <f>REPLACE(E11,F11,G11,H11)</f>
        <v>10日(日)&lt;/td&gt;&lt;td&gt; 柘榴</v>
      </c>
      <c r="J11" s="2">
        <v>5</v>
      </c>
      <c r="K11" s="2">
        <v>1</v>
      </c>
      <c r="L11" s="2" t="s">
        <v>37</v>
      </c>
      <c r="M11" s="2" t="str">
        <f t="shared" si="4"/>
        <v>日</v>
      </c>
      <c r="N11" s="2" t="str">
        <f t="shared" si="0"/>
        <v>&lt;tr class='weekend'&gt;&lt;td&gt;10日(日)&lt;/td&gt;&lt;td&gt; 柘榴</v>
      </c>
      <c r="O11" t="str">
        <f t="shared" si="1"/>
        <v>&lt;tr class='weekend'&gt;&lt;td&gt;10日(日)&lt;/td&gt;&lt;td&gt; 柘榴&lt;span class='event_font'&gt;&amp;nbsp&amp;nbspセット料金半額DAY!&lt;/span&gt;&lt;/td&gt;&lt;/tr&gt;</v>
      </c>
    </row>
    <row r="12" spans="1:15" ht="18" x14ac:dyDescent="0.2">
      <c r="A12" s="8" t="s">
        <v>90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11日(月曜 カナ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11日(月)&lt;/td&gt;&lt;td&gt; カナ</v>
      </c>
      <c r="J12" s="2">
        <v>5</v>
      </c>
      <c r="K12" s="2">
        <v>1</v>
      </c>
      <c r="L12" s="2" t="s">
        <v>37</v>
      </c>
      <c r="M12" s="2" t="str">
        <f t="shared" si="4"/>
        <v>月</v>
      </c>
      <c r="N12" s="2" t="str">
        <f>IF(OR(M12="土", M12="日"), "&lt;tr class='weekend'&gt;&lt;td&gt;"&amp;I12, "&lt;tr&gt;&lt;td&gt;"&amp;I12)</f>
        <v>&lt;tr&gt;&lt;td&gt;11日(月)&lt;/td&gt;&lt;td&gt; カナ</v>
      </c>
      <c r="O12" t="str">
        <f>IF(M12="日", N12&amp;"&lt;span class='event_font'&gt;&amp;nbsp&amp;nbspセット料金半額DAY!&lt;/span&gt;&lt;/td&gt;&lt;/tr&gt;",N12&amp;"&lt;/td&gt;&lt;/tr&gt;")</f>
        <v>&lt;tr&gt;&lt;td&gt;11日(月)&lt;/td&gt;&lt;td&gt; カナ&lt;/td&gt;&lt;/tr&gt;</v>
      </c>
    </row>
    <row r="13" spans="1:15" ht="18" x14ac:dyDescent="0.2">
      <c r="A13" s="8" t="s">
        <v>79</v>
      </c>
      <c r="B13" s="2">
        <v>3</v>
      </c>
      <c r="C13" s="2">
        <v>1</v>
      </c>
      <c r="D13" s="2" t="s">
        <v>36</v>
      </c>
      <c r="E13" s="2" t="str">
        <f t="shared" si="5"/>
        <v>12日(火曜 イリヤ</v>
      </c>
      <c r="F13" s="2">
        <v>6</v>
      </c>
      <c r="G13" s="2">
        <v>1</v>
      </c>
      <c r="H13" s="2" t="s">
        <v>37</v>
      </c>
      <c r="I13" s="2" t="str">
        <f t="shared" si="6"/>
        <v>12日(火)&lt;/td&gt;&lt;td&gt; イリヤ</v>
      </c>
      <c r="J13" s="2">
        <v>5</v>
      </c>
      <c r="K13" s="2">
        <v>1</v>
      </c>
      <c r="L13" s="2" t="s">
        <v>37</v>
      </c>
      <c r="M13" s="2" t="str">
        <f t="shared" si="4"/>
        <v>火</v>
      </c>
      <c r="N13" s="2" t="str">
        <f t="shared" ref="N13:N31" si="7">IF(OR(M13="土", M13="日"), "&lt;tr class='weekend'&gt;&lt;td&gt;"&amp;I13, "&lt;tr&gt;&lt;td&gt;"&amp;I13)</f>
        <v>&lt;tr&gt;&lt;td&gt;12日(火)&lt;/td&gt;&lt;td&gt; イリヤ</v>
      </c>
      <c r="O13" t="str">
        <f t="shared" ref="O13:O31" si="8">IF(M13="日", N13&amp;"&lt;span class='event_font'&gt;&amp;nbsp&amp;nbspセット料金半額DAY!&lt;/span&gt;&lt;/td&gt;&lt;/tr&gt;",N13&amp;"&lt;/td&gt;&lt;/tr&gt;")</f>
        <v>&lt;tr&gt;&lt;td&gt;12日(火)&lt;/td&gt;&lt;td&gt; イリヤ&lt;/td&gt;&lt;/tr&gt;</v>
      </c>
    </row>
    <row r="14" spans="1:15" ht="18" x14ac:dyDescent="0.2">
      <c r="A14" s="8" t="s">
        <v>80</v>
      </c>
      <c r="B14" s="2">
        <v>3</v>
      </c>
      <c r="C14" s="2">
        <v>1</v>
      </c>
      <c r="D14" s="2" t="s">
        <v>36</v>
      </c>
      <c r="E14" s="2" t="str">
        <f t="shared" si="5"/>
        <v>13日(水曜 柘榴</v>
      </c>
      <c r="F14" s="2">
        <v>6</v>
      </c>
      <c r="G14" s="2">
        <v>1</v>
      </c>
      <c r="H14" s="2" t="s">
        <v>37</v>
      </c>
      <c r="I14" s="2" t="str">
        <f t="shared" si="6"/>
        <v>13日(水)&lt;/td&gt;&lt;td&gt; 柘榴</v>
      </c>
      <c r="J14" s="2">
        <v>5</v>
      </c>
      <c r="K14" s="2">
        <v>1</v>
      </c>
      <c r="L14" s="2" t="s">
        <v>37</v>
      </c>
      <c r="M14" s="2" t="str">
        <f t="shared" si="4"/>
        <v>水</v>
      </c>
      <c r="N14" s="2" t="str">
        <f t="shared" si="7"/>
        <v>&lt;tr&gt;&lt;td&gt;13日(水)&lt;/td&gt;&lt;td&gt; 柘榴</v>
      </c>
      <c r="O14" t="str">
        <f t="shared" si="8"/>
        <v>&lt;tr&gt;&lt;td&gt;13日(水)&lt;/td&gt;&lt;td&gt; 柘榴&lt;/td&gt;&lt;/tr&gt;</v>
      </c>
    </row>
    <row r="15" spans="1:15" ht="18" x14ac:dyDescent="0.2">
      <c r="A15" s="8" t="s">
        <v>81</v>
      </c>
      <c r="B15" s="2">
        <v>3</v>
      </c>
      <c r="C15" s="2">
        <v>1</v>
      </c>
      <c r="D15" s="2" t="s">
        <v>36</v>
      </c>
      <c r="E15" s="2" t="str">
        <f t="shared" si="5"/>
        <v>14日(木曜 カナ</v>
      </c>
      <c r="F15" s="2">
        <v>6</v>
      </c>
      <c r="G15" s="2">
        <v>1</v>
      </c>
      <c r="H15" s="2" t="s">
        <v>37</v>
      </c>
      <c r="I15" s="2" t="str">
        <f t="shared" si="6"/>
        <v>14日(木)&lt;/td&gt;&lt;td&gt; カナ</v>
      </c>
      <c r="J15" s="2">
        <v>5</v>
      </c>
      <c r="K15" s="2">
        <v>1</v>
      </c>
      <c r="L15" s="2" t="s">
        <v>37</v>
      </c>
      <c r="M15" s="2" t="str">
        <f t="shared" si="4"/>
        <v>木</v>
      </c>
      <c r="N15" s="2" t="str">
        <f t="shared" si="7"/>
        <v>&lt;tr&gt;&lt;td&gt;14日(木)&lt;/td&gt;&lt;td&gt; カナ</v>
      </c>
      <c r="O15" t="str">
        <f t="shared" si="8"/>
        <v>&lt;tr&gt;&lt;td&gt;14日(木)&lt;/td&gt;&lt;td&gt; カナ&lt;/td&gt;&lt;/tr&gt;</v>
      </c>
    </row>
    <row r="16" spans="1:15" ht="18" x14ac:dyDescent="0.2">
      <c r="A16" s="8" t="s">
        <v>91</v>
      </c>
      <c r="B16" s="2">
        <v>3</v>
      </c>
      <c r="C16" s="2">
        <v>1</v>
      </c>
      <c r="D16" s="2" t="s">
        <v>36</v>
      </c>
      <c r="E16" s="2" t="str">
        <f t="shared" si="5"/>
        <v>15日(金曜 美咲、ロキ</v>
      </c>
      <c r="F16" s="2">
        <v>6</v>
      </c>
      <c r="G16" s="2">
        <v>1</v>
      </c>
      <c r="H16" s="2" t="s">
        <v>37</v>
      </c>
      <c r="I16" s="2" t="str">
        <f t="shared" si="6"/>
        <v>15日(金)&lt;/td&gt;&lt;td&gt; 美咲、ロキ</v>
      </c>
      <c r="J16" s="2">
        <v>5</v>
      </c>
      <c r="K16" s="2">
        <v>1</v>
      </c>
      <c r="L16" s="2" t="s">
        <v>37</v>
      </c>
      <c r="M16" s="2" t="str">
        <f t="shared" si="4"/>
        <v>金</v>
      </c>
      <c r="N16" s="2" t="str">
        <f t="shared" si="7"/>
        <v>&lt;tr&gt;&lt;td&gt;15日(金)&lt;/td&gt;&lt;td&gt; 美咲、ロキ</v>
      </c>
      <c r="O16" t="str">
        <f t="shared" si="8"/>
        <v>&lt;tr&gt;&lt;td&gt;15日(金)&lt;/td&gt;&lt;td&gt; 美咲、ロキ&lt;/td&gt;&lt;/tr&gt;</v>
      </c>
    </row>
    <row r="17" spans="1:15" ht="18" x14ac:dyDescent="0.2">
      <c r="A17" s="8" t="s">
        <v>92</v>
      </c>
      <c r="B17" s="2">
        <v>3</v>
      </c>
      <c r="C17" s="2">
        <v>1</v>
      </c>
      <c r="D17" s="2" t="s">
        <v>36</v>
      </c>
      <c r="E17" s="2" t="str">
        <f t="shared" si="5"/>
        <v>16日(土曜 美咲、イリヤ</v>
      </c>
      <c r="F17" s="2">
        <v>6</v>
      </c>
      <c r="G17" s="2">
        <v>1</v>
      </c>
      <c r="H17" s="2" t="s">
        <v>37</v>
      </c>
      <c r="I17" s="2" t="str">
        <f t="shared" si="6"/>
        <v>16日(土)&lt;/td&gt;&lt;td&gt; 美咲、イリヤ</v>
      </c>
      <c r="J17" s="2">
        <v>5</v>
      </c>
      <c r="K17" s="2">
        <v>1</v>
      </c>
      <c r="L17" s="2" t="s">
        <v>37</v>
      </c>
      <c r="M17" s="2" t="str">
        <f t="shared" si="4"/>
        <v>土</v>
      </c>
      <c r="N17" s="2" t="str">
        <f t="shared" si="7"/>
        <v>&lt;tr class='weekend'&gt;&lt;td&gt;16日(土)&lt;/td&gt;&lt;td&gt; 美咲、イリヤ</v>
      </c>
      <c r="O17" t="str">
        <f t="shared" si="8"/>
        <v>&lt;tr class='weekend'&gt;&lt;td&gt;16日(土)&lt;/td&gt;&lt;td&gt; 美咲、イリヤ&lt;/td&gt;&lt;/tr&gt;</v>
      </c>
    </row>
    <row r="18" spans="1:15" ht="18" x14ac:dyDescent="0.2">
      <c r="A18" s="8" t="s">
        <v>93</v>
      </c>
      <c r="B18" s="2">
        <v>3</v>
      </c>
      <c r="C18" s="2">
        <v>1</v>
      </c>
      <c r="D18" s="2" t="s">
        <v>36</v>
      </c>
      <c r="E18" s="2" t="str">
        <f t="shared" si="5"/>
        <v>17日(日曜 カナ</v>
      </c>
      <c r="F18" s="2">
        <v>6</v>
      </c>
      <c r="G18" s="2">
        <v>1</v>
      </c>
      <c r="H18" s="2" t="s">
        <v>37</v>
      </c>
      <c r="I18" s="2" t="str">
        <f t="shared" si="6"/>
        <v>17日(日)&lt;/td&gt;&lt;td&gt; カナ</v>
      </c>
      <c r="J18" s="2">
        <v>5</v>
      </c>
      <c r="K18" s="2">
        <v>1</v>
      </c>
      <c r="L18" s="2" t="s">
        <v>37</v>
      </c>
      <c r="M18" s="2" t="str">
        <f t="shared" si="4"/>
        <v>日</v>
      </c>
      <c r="N18" s="2" t="str">
        <f t="shared" si="7"/>
        <v>&lt;tr class='weekend'&gt;&lt;td&gt;17日(日)&lt;/td&gt;&lt;td&gt; カナ</v>
      </c>
      <c r="O18" t="str">
        <f t="shared" si="8"/>
        <v>&lt;tr class='weekend'&gt;&lt;td&gt;17日(日)&lt;/td&gt;&lt;td&gt; カナ&lt;span class='event_font'&gt;&amp;nbsp&amp;nbspセット料金半額DAY!&lt;/span&gt;&lt;/td&gt;&lt;/tr&gt;</v>
      </c>
    </row>
    <row r="19" spans="1:15" ht="18" x14ac:dyDescent="0.2">
      <c r="A19" s="8" t="s">
        <v>94</v>
      </c>
      <c r="B19" s="2">
        <v>3</v>
      </c>
      <c r="C19" s="2">
        <v>1</v>
      </c>
      <c r="D19" s="2" t="s">
        <v>36</v>
      </c>
      <c r="E19" s="2" t="str">
        <f t="shared" si="5"/>
        <v>18日(月曜 お休み</v>
      </c>
      <c r="F19" s="2">
        <v>6</v>
      </c>
      <c r="G19" s="2">
        <v>1</v>
      </c>
      <c r="H19" s="2" t="s">
        <v>37</v>
      </c>
      <c r="I19" s="2" t="str">
        <f t="shared" si="6"/>
        <v>18日(月)&lt;/td&gt;&lt;td&gt; お休み</v>
      </c>
      <c r="J19" s="2">
        <v>5</v>
      </c>
      <c r="K19" s="2">
        <v>1</v>
      </c>
      <c r="L19" s="2" t="s">
        <v>37</v>
      </c>
      <c r="M19" s="2" t="str">
        <f t="shared" si="4"/>
        <v>月</v>
      </c>
      <c r="N19" s="2" t="str">
        <f t="shared" si="7"/>
        <v>&lt;tr&gt;&lt;td&gt;18日(月)&lt;/td&gt;&lt;td&gt; お休み</v>
      </c>
      <c r="O19" t="str">
        <f t="shared" si="8"/>
        <v>&lt;tr&gt;&lt;td&gt;18日(月)&lt;/td&gt;&lt;td&gt; お休み&lt;/td&gt;&lt;/tr&gt;</v>
      </c>
    </row>
    <row r="20" spans="1:15" ht="18" x14ac:dyDescent="0.2">
      <c r="A20" s="8" t="s">
        <v>82</v>
      </c>
      <c r="B20" s="2">
        <v>3</v>
      </c>
      <c r="C20" s="2">
        <v>1</v>
      </c>
      <c r="D20" s="2" t="s">
        <v>36</v>
      </c>
      <c r="E20" s="2" t="str">
        <f t="shared" si="5"/>
        <v>19日(火曜 柘榴</v>
      </c>
      <c r="F20" s="2">
        <v>6</v>
      </c>
      <c r="G20" s="2">
        <v>1</v>
      </c>
      <c r="H20" s="2" t="s">
        <v>37</v>
      </c>
      <c r="I20" s="2" t="str">
        <f t="shared" si="6"/>
        <v>19日(火)&lt;/td&gt;&lt;td&gt; 柘榴</v>
      </c>
      <c r="J20" s="2">
        <v>5</v>
      </c>
      <c r="K20" s="2">
        <v>1</v>
      </c>
      <c r="L20" s="2" t="s">
        <v>37</v>
      </c>
      <c r="M20" s="2" t="str">
        <f t="shared" si="4"/>
        <v>火</v>
      </c>
      <c r="N20" s="2" t="str">
        <f t="shared" si="7"/>
        <v>&lt;tr&gt;&lt;td&gt;19日(火)&lt;/td&gt;&lt;td&gt; 柘榴</v>
      </c>
      <c r="O20" t="str">
        <f t="shared" si="8"/>
        <v>&lt;tr&gt;&lt;td&gt;19日(火)&lt;/td&gt;&lt;td&gt; 柘榴&lt;/td&gt;&lt;/tr&gt;</v>
      </c>
    </row>
    <row r="21" spans="1:15" ht="18" x14ac:dyDescent="0.2">
      <c r="A21" s="8" t="s">
        <v>95</v>
      </c>
      <c r="B21" s="2">
        <v>3</v>
      </c>
      <c r="C21" s="2">
        <v>1</v>
      </c>
      <c r="D21" s="2" t="s">
        <v>36</v>
      </c>
      <c r="E21" s="2" t="str">
        <f t="shared" si="5"/>
        <v>20日(水曜 カナ</v>
      </c>
      <c r="F21" s="2">
        <v>6</v>
      </c>
      <c r="G21" s="2">
        <v>1</v>
      </c>
      <c r="H21" s="2" t="s">
        <v>37</v>
      </c>
      <c r="I21" s="2" t="str">
        <f t="shared" si="6"/>
        <v>20日(水)&lt;/td&gt;&lt;td&gt; カナ</v>
      </c>
      <c r="J21" s="2">
        <v>5</v>
      </c>
      <c r="K21" s="2">
        <v>1</v>
      </c>
      <c r="L21" s="2" t="s">
        <v>37</v>
      </c>
      <c r="M21" s="2" t="str">
        <f t="shared" si="4"/>
        <v>水</v>
      </c>
      <c r="N21" s="2" t="str">
        <f t="shared" si="7"/>
        <v>&lt;tr&gt;&lt;td&gt;20日(水)&lt;/td&gt;&lt;td&gt; カナ</v>
      </c>
      <c r="O21" t="str">
        <f t="shared" si="8"/>
        <v>&lt;tr&gt;&lt;td&gt;20日(水)&lt;/td&gt;&lt;td&gt; カナ&lt;/td&gt;&lt;/tr&gt;</v>
      </c>
    </row>
    <row r="22" spans="1:15" ht="18" x14ac:dyDescent="0.2">
      <c r="A22" s="8" t="s">
        <v>96</v>
      </c>
      <c r="B22" s="2">
        <v>3</v>
      </c>
      <c r="C22" s="2">
        <v>1</v>
      </c>
      <c r="D22" s="2" t="s">
        <v>36</v>
      </c>
      <c r="E22" s="2" t="str">
        <f t="shared" si="5"/>
        <v>21日(木曜 未定</v>
      </c>
      <c r="F22" s="2">
        <v>6</v>
      </c>
      <c r="G22" s="2">
        <v>1</v>
      </c>
      <c r="H22" s="2" t="s">
        <v>37</v>
      </c>
      <c r="I22" s="2" t="str">
        <f t="shared" si="6"/>
        <v>21日(木)&lt;/td&gt;&lt;td&gt; 未定</v>
      </c>
      <c r="J22" s="2">
        <v>5</v>
      </c>
      <c r="K22" s="2">
        <v>1</v>
      </c>
      <c r="L22" s="2" t="s">
        <v>37</v>
      </c>
      <c r="M22" s="2" t="str">
        <f t="shared" si="4"/>
        <v>木</v>
      </c>
      <c r="N22" s="2" t="str">
        <f t="shared" si="7"/>
        <v>&lt;tr&gt;&lt;td&gt;21日(木)&lt;/td&gt;&lt;td&gt; 未定</v>
      </c>
      <c r="O22" t="str">
        <f t="shared" si="8"/>
        <v>&lt;tr&gt;&lt;td&gt;21日(木)&lt;/td&gt;&lt;td&gt; 未定&lt;/td&gt;&lt;/tr&gt;</v>
      </c>
    </row>
    <row r="23" spans="1:15" ht="18" x14ac:dyDescent="0.2">
      <c r="A23" s="8" t="s">
        <v>97</v>
      </c>
      <c r="B23" s="2">
        <v>3</v>
      </c>
      <c r="C23" s="2">
        <v>1</v>
      </c>
      <c r="D23" s="2" t="s">
        <v>36</v>
      </c>
      <c r="E23" s="2" t="str">
        <f t="shared" si="5"/>
        <v>22日(金曜 イリヤ</v>
      </c>
      <c r="F23" s="2">
        <v>6</v>
      </c>
      <c r="G23" s="2">
        <v>1</v>
      </c>
      <c r="H23" s="2" t="s">
        <v>37</v>
      </c>
      <c r="I23" s="2" t="str">
        <f t="shared" si="6"/>
        <v>22日(金)&lt;/td&gt;&lt;td&gt; イリヤ</v>
      </c>
      <c r="J23" s="2">
        <v>5</v>
      </c>
      <c r="K23" s="2">
        <v>1</v>
      </c>
      <c r="L23" s="2" t="s">
        <v>37</v>
      </c>
      <c r="M23" s="2" t="str">
        <f t="shared" si="4"/>
        <v>金</v>
      </c>
      <c r="N23" s="2" t="str">
        <f t="shared" si="7"/>
        <v>&lt;tr&gt;&lt;td&gt;22日(金)&lt;/td&gt;&lt;td&gt; イリヤ</v>
      </c>
      <c r="O23" t="str">
        <f t="shared" si="8"/>
        <v>&lt;tr&gt;&lt;td&gt;22日(金)&lt;/td&gt;&lt;td&gt; イリヤ&lt;/td&gt;&lt;/tr&gt;</v>
      </c>
    </row>
    <row r="24" spans="1:15" ht="18" x14ac:dyDescent="0.2">
      <c r="A24" s="8" t="s">
        <v>98</v>
      </c>
      <c r="B24" s="2">
        <v>3</v>
      </c>
      <c r="C24" s="2">
        <v>1</v>
      </c>
      <c r="D24" s="2" t="s">
        <v>36</v>
      </c>
      <c r="E24" s="2" t="str">
        <f t="shared" si="5"/>
        <v>23日(土曜 イリヤ、ののか</v>
      </c>
      <c r="F24" s="2">
        <v>6</v>
      </c>
      <c r="G24" s="2">
        <v>1</v>
      </c>
      <c r="H24" s="2" t="s">
        <v>37</v>
      </c>
      <c r="I24" s="2" t="str">
        <f t="shared" si="6"/>
        <v>23日(土)&lt;/td&gt;&lt;td&gt; イリヤ、ののか</v>
      </c>
      <c r="J24" s="2">
        <v>5</v>
      </c>
      <c r="K24" s="2">
        <v>1</v>
      </c>
      <c r="L24" s="2" t="s">
        <v>37</v>
      </c>
      <c r="M24" s="2" t="str">
        <f t="shared" si="4"/>
        <v>土</v>
      </c>
      <c r="N24" s="2" t="str">
        <f t="shared" si="7"/>
        <v>&lt;tr class='weekend'&gt;&lt;td&gt;23日(土)&lt;/td&gt;&lt;td&gt; イリヤ、ののか</v>
      </c>
      <c r="O24" t="str">
        <f t="shared" si="8"/>
        <v>&lt;tr class='weekend'&gt;&lt;td&gt;23日(土)&lt;/td&gt;&lt;td&gt; イリヤ、ののか&lt;/td&gt;&lt;/tr&gt;</v>
      </c>
    </row>
    <row r="25" spans="1:15" ht="18" x14ac:dyDescent="0.2">
      <c r="A25" s="8" t="s">
        <v>99</v>
      </c>
      <c r="B25" s="2">
        <v>3</v>
      </c>
      <c r="C25" s="2">
        <v>1</v>
      </c>
      <c r="D25" s="2" t="s">
        <v>36</v>
      </c>
      <c r="E25" s="2" t="str">
        <f t="shared" si="5"/>
        <v>24日(日曜 柘榴</v>
      </c>
      <c r="F25" s="2">
        <v>6</v>
      </c>
      <c r="G25" s="2">
        <v>1</v>
      </c>
      <c r="H25" s="2" t="s">
        <v>37</v>
      </c>
      <c r="I25" s="2" t="str">
        <f t="shared" si="6"/>
        <v>24日(日)&lt;/td&gt;&lt;td&gt; 柘榴</v>
      </c>
      <c r="J25" s="2">
        <v>5</v>
      </c>
      <c r="K25" s="2">
        <v>1</v>
      </c>
      <c r="L25" s="2" t="s">
        <v>37</v>
      </c>
      <c r="M25" s="2" t="str">
        <f t="shared" si="4"/>
        <v>日</v>
      </c>
      <c r="N25" s="2" t="str">
        <f t="shared" si="7"/>
        <v>&lt;tr class='weekend'&gt;&lt;td&gt;24日(日)&lt;/td&gt;&lt;td&gt; 柘榴</v>
      </c>
      <c r="O25" t="str">
        <f t="shared" si="8"/>
        <v>&lt;tr class='weekend'&gt;&lt;td&gt;24日(日)&lt;/td&gt;&lt;td&gt; 柘榴&lt;span class='event_font'&gt;&amp;nbsp&amp;nbspセット料金半額DAY!&lt;/span&gt;&lt;/td&gt;&lt;/tr&gt;</v>
      </c>
    </row>
    <row r="26" spans="1:15" ht="18" x14ac:dyDescent="0.2">
      <c r="A26" s="8" t="s">
        <v>100</v>
      </c>
      <c r="B26" s="2">
        <v>3</v>
      </c>
      <c r="C26" s="2">
        <v>1</v>
      </c>
      <c r="D26" s="2" t="s">
        <v>36</v>
      </c>
      <c r="E26" s="2" t="str">
        <f t="shared" si="5"/>
        <v>25日(月曜 カナ</v>
      </c>
      <c r="F26" s="2">
        <v>6</v>
      </c>
      <c r="G26" s="2">
        <v>1</v>
      </c>
      <c r="H26" s="2" t="s">
        <v>37</v>
      </c>
      <c r="I26" s="2" t="str">
        <f t="shared" si="6"/>
        <v>25日(月)&lt;/td&gt;&lt;td&gt; カナ</v>
      </c>
      <c r="J26" s="2">
        <v>5</v>
      </c>
      <c r="K26" s="2">
        <v>1</v>
      </c>
      <c r="L26" s="2" t="s">
        <v>37</v>
      </c>
      <c r="M26" s="2" t="str">
        <f t="shared" si="4"/>
        <v>月</v>
      </c>
      <c r="N26" s="2" t="str">
        <f t="shared" si="7"/>
        <v>&lt;tr&gt;&lt;td&gt;25日(月)&lt;/td&gt;&lt;td&gt; カナ</v>
      </c>
      <c r="O26" t="str">
        <f t="shared" si="8"/>
        <v>&lt;tr&gt;&lt;td&gt;25日(月)&lt;/td&gt;&lt;td&gt; カナ&lt;/td&gt;&lt;/tr&gt;</v>
      </c>
    </row>
    <row r="27" spans="1:15" ht="18" x14ac:dyDescent="0.2">
      <c r="A27" s="8" t="s">
        <v>101</v>
      </c>
      <c r="B27" s="2">
        <v>3</v>
      </c>
      <c r="C27" s="2">
        <v>1</v>
      </c>
      <c r="D27" s="2" t="s">
        <v>36</v>
      </c>
      <c r="E27" s="2" t="str">
        <f t="shared" si="5"/>
        <v>26日(火曜 イリヤ</v>
      </c>
      <c r="F27" s="2">
        <v>6</v>
      </c>
      <c r="G27" s="2">
        <v>1</v>
      </c>
      <c r="H27" s="2" t="s">
        <v>37</v>
      </c>
      <c r="I27" s="2" t="str">
        <f t="shared" si="6"/>
        <v>26日(火)&lt;/td&gt;&lt;td&gt; イリヤ</v>
      </c>
      <c r="J27" s="2">
        <v>5</v>
      </c>
      <c r="K27" s="2">
        <v>1</v>
      </c>
      <c r="L27" s="2" t="s">
        <v>37</v>
      </c>
      <c r="M27" s="2" t="str">
        <f t="shared" si="4"/>
        <v>火</v>
      </c>
      <c r="N27" s="2" t="str">
        <f t="shared" si="7"/>
        <v>&lt;tr&gt;&lt;td&gt;26日(火)&lt;/td&gt;&lt;td&gt; イリヤ</v>
      </c>
      <c r="O27" t="str">
        <f t="shared" si="8"/>
        <v>&lt;tr&gt;&lt;td&gt;26日(火)&lt;/td&gt;&lt;td&gt; イリヤ&lt;/td&gt;&lt;/tr&gt;</v>
      </c>
    </row>
    <row r="28" spans="1:15" ht="18" x14ac:dyDescent="0.2">
      <c r="A28" s="8" t="s">
        <v>83</v>
      </c>
      <c r="B28" s="2">
        <v>3</v>
      </c>
      <c r="C28" s="2">
        <v>1</v>
      </c>
      <c r="D28" s="2" t="s">
        <v>36</v>
      </c>
      <c r="E28" s="2" t="str">
        <f t="shared" si="5"/>
        <v>27日(水曜 柘榴</v>
      </c>
      <c r="F28" s="2">
        <v>6</v>
      </c>
      <c r="G28" s="2">
        <v>1</v>
      </c>
      <c r="H28" s="2" t="s">
        <v>37</v>
      </c>
      <c r="I28" s="2" t="str">
        <f t="shared" si="6"/>
        <v>27日(水)&lt;/td&gt;&lt;td&gt; 柘榴</v>
      </c>
      <c r="J28" s="2">
        <v>5</v>
      </c>
      <c r="K28" s="2">
        <v>1</v>
      </c>
      <c r="L28" s="2" t="s">
        <v>37</v>
      </c>
      <c r="M28" s="2" t="str">
        <f t="shared" si="4"/>
        <v>水</v>
      </c>
      <c r="N28" s="2" t="str">
        <f t="shared" si="7"/>
        <v>&lt;tr&gt;&lt;td&gt;27日(水)&lt;/td&gt;&lt;td&gt; 柘榴</v>
      </c>
      <c r="O28" t="str">
        <f t="shared" si="8"/>
        <v>&lt;tr&gt;&lt;td&gt;27日(水)&lt;/td&gt;&lt;td&gt; 柘榴&lt;/td&gt;&lt;/tr&gt;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28日(木曜 カナ</v>
      </c>
      <c r="F29" s="2">
        <v>6</v>
      </c>
      <c r="G29" s="2">
        <v>1</v>
      </c>
      <c r="H29" s="2" t="s">
        <v>37</v>
      </c>
      <c r="I29" s="2" t="str">
        <f t="shared" si="6"/>
        <v>28日(木)&lt;/td&gt;&lt;td&gt; カナ</v>
      </c>
      <c r="J29" s="2">
        <v>5</v>
      </c>
      <c r="K29" s="2">
        <v>1</v>
      </c>
      <c r="L29" s="2" t="s">
        <v>37</v>
      </c>
      <c r="M29" s="2" t="str">
        <f t="shared" si="4"/>
        <v>木</v>
      </c>
      <c r="N29" s="2" t="str">
        <f t="shared" si="7"/>
        <v>&lt;tr&gt;&lt;td&gt;28日(木)&lt;/td&gt;&lt;td&gt; カナ</v>
      </c>
      <c r="O29" t="str">
        <f t="shared" si="8"/>
        <v>&lt;tr&gt;&lt;td&gt;28日(木)&lt;/td&gt;&lt;td&gt; カナ&lt;/td&gt;&lt;/tr&gt;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29日(金曜 美咲</v>
      </c>
      <c r="F30" s="2">
        <v>6</v>
      </c>
      <c r="G30" s="2">
        <v>1</v>
      </c>
      <c r="H30" s="2" t="s">
        <v>37</v>
      </c>
      <c r="I30" s="2" t="str">
        <f t="shared" si="6"/>
        <v>29日(金)&lt;/td&gt;&lt;td&gt; 美咲</v>
      </c>
      <c r="J30" s="2">
        <v>5</v>
      </c>
      <c r="K30" s="2">
        <v>1</v>
      </c>
      <c r="L30" s="2" t="s">
        <v>37</v>
      </c>
      <c r="M30" s="2" t="str">
        <f t="shared" si="4"/>
        <v>金</v>
      </c>
      <c r="N30" s="2" t="str">
        <f t="shared" si="7"/>
        <v>&lt;tr&gt;&lt;td&gt;29日(金)&lt;/td&gt;&lt;td&gt; 美咲</v>
      </c>
      <c r="O30" t="str">
        <f t="shared" si="8"/>
        <v>&lt;tr&gt;&lt;td&gt;29日(金)&lt;/td&gt;&lt;td&gt; 美咲&lt;/td&gt;&lt;/tr&gt;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30日(土曜 美咲、ことみ</v>
      </c>
      <c r="F31" s="2">
        <v>6</v>
      </c>
      <c r="G31" s="2">
        <v>1</v>
      </c>
      <c r="H31" s="2" t="s">
        <v>37</v>
      </c>
      <c r="I31" s="2" t="str">
        <f t="shared" si="6"/>
        <v>30日(土)&lt;/td&gt;&lt;td&gt; 美咲、ことみ</v>
      </c>
      <c r="J31" s="2">
        <v>5</v>
      </c>
      <c r="K31" s="2">
        <v>1</v>
      </c>
      <c r="L31" s="2" t="s">
        <v>37</v>
      </c>
      <c r="M31" s="2" t="str">
        <f t="shared" si="4"/>
        <v>土</v>
      </c>
      <c r="N31" s="2" t="str">
        <f t="shared" si="7"/>
        <v>&lt;tr class='weekend'&gt;&lt;td&gt;30日(土)&lt;/td&gt;&lt;td&gt; 美咲、ことみ</v>
      </c>
      <c r="O31" t="str">
        <f t="shared" si="8"/>
        <v>&lt;tr class='weekend'&gt;&lt;td&gt;30日(土)&lt;/td&gt;&lt;td&gt; 美咲、ことみ&lt;/td&gt;&lt;/tr&gt;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 t="shared" ref="E32" si="9">REPLACE(A32,B32,C32,D32)</f>
        <v>31日(日曜 カナ</v>
      </c>
      <c r="F32" s="2">
        <v>6</v>
      </c>
      <c r="G32" s="2">
        <v>1</v>
      </c>
      <c r="H32" s="2" t="s">
        <v>37</v>
      </c>
      <c r="I32" s="2" t="str">
        <f t="shared" ref="I32" si="10">REPLACE(E32,F32,G32,H32)</f>
        <v>31日(日)&lt;/td&gt;&lt;td&gt; カナ</v>
      </c>
      <c r="J32" s="2">
        <v>5</v>
      </c>
      <c r="K32" s="2">
        <v>1</v>
      </c>
      <c r="L32" s="2" t="s">
        <v>37</v>
      </c>
      <c r="M32" s="2" t="str">
        <f t="shared" ref="M32" si="11">MID(I32,J32,K32)</f>
        <v>日</v>
      </c>
      <c r="N32" s="2" t="str">
        <f t="shared" ref="N32" si="12">IF(OR(M32="土", M32="日"), "&lt;tr class='weekend'&gt;&lt;td&gt;"&amp;I32, "&lt;tr&gt;&lt;td&gt;"&amp;I32)</f>
        <v>&lt;tr class='weekend'&gt;&lt;td&gt;31日(日)&lt;/td&gt;&lt;td&gt; カナ</v>
      </c>
      <c r="O32" t="str">
        <f t="shared" ref="O32" si="13">IF(M32="日", N32&amp;"&lt;span class='event_font'&gt;&amp;nbsp&amp;nbspセット料金半額DAY!&lt;/span&gt;&lt;/td&gt;&lt;/tr&gt;",N32&amp;"&lt;/td&gt;&lt;/tr&gt;")</f>
        <v>&lt;tr class='weekend'&gt;&lt;td&gt;31日(日)&lt;/td&gt;&lt;td&gt; カナ&lt;span class='event_font'&gt;&amp;nbsp&amp;nbspセット料金半額DAY!&lt;/span&gt;&lt;/td&gt;&lt;/tr&gt;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R12" sqref="R12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en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2019-02-28T13:06:43Z</dcterms:modified>
</cp:coreProperties>
</file>