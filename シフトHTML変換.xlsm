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39E4FC4B-9A9C-48C8-BDF5-C6AE229A3B53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2" i="1" l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<sst xmlns="http://schemas.openxmlformats.org/spreadsheetml/2006/main" count="338" uniqueCount="150">
  <si>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</si>
  <si>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</si>
  <si>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</si>
  <si>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</si>
  <si>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</si>
  <si>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</si>
  <si>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</si>
  <si>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</si>
  <si>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</si>
  <si>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</si>
  <si>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</si>
  <si>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</si>
  <si>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</si>
  <si>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</si>
  <si>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</si>
  <si>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</si>
  <si>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</si>
  <si>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</si>
  <si>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</si>
  <si>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</si>
  <si>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</si>
  <si>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</si>
  <si>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</si>
  <si>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</si>
  <si>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</si>
  <si>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</si>
  <si>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</si>
  <si>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</si>
  <si>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</si>
  <si>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</si>
  <si>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</si>
  <si>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</si>
  <si>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</si>
  <si>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</si>
  <si>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</si>
  <si>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</si>
  <si>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</si>
  <si>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</si>
  <si>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</si>
  <si>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</si>
  <si>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</si>
  <si>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</si>
  <si>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</si>
  <si>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</si>
  <si>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</si>
  <si>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</si>
  <si>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</si>
  <si>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</si>
  <si>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</si>
  <si>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</si>
  <si>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</si>
  <si>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</si>
  <si>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</si>
  <si>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</si>
  <si>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</si>
  <si>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</si>
  <si>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</si>
  <si>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</si>
  <si>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</si>
  <si>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</si>
  <si>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</si>
  <si>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</si>
  <si>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</si>
  <si>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</si>
  <si>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</si>
  <si>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</si>
  <si>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</si>
  <si>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</si>
  <si>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</si>
  <si>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</si>
  <si>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</si>
  <si>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</si>
  <si>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</si>
  <si>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</si>
  <si>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</si>
  <si>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4／1月曜→未定</t>
  </si>
  <si>
    <t>4／2火曜→柘榴</t>
  </si>
  <si>
    <t>4／3水曜→イリヤ</t>
  </si>
  <si>
    <t>4／4木曜→カナ</t>
  </si>
  <si>
    <t>4／5金曜→美咲</t>
  </si>
  <si>
    <t>4／6土曜→夏すみれ選手イベント 美咲、イリヤ</t>
  </si>
  <si>
    <t>4／7日曜→カーマ</t>
  </si>
  <si>
    <t>4／8月曜→カナ</t>
  </si>
  <si>
    <t>4／9火曜→柘榴</t>
  </si>
  <si>
    <t>4／10水曜→イリヤ</t>
  </si>
  <si>
    <t>4／11木曜→カーマ</t>
  </si>
  <si>
    <t>4／12金曜→美咲</t>
  </si>
  <si>
    <t>4／13土曜→美咲、柘榴</t>
  </si>
  <si>
    <t>4／14日曜→カナ</t>
  </si>
  <si>
    <t>4／15月曜→カーマ</t>
  </si>
  <si>
    <t>4／16火曜→イリヤ</t>
  </si>
  <si>
    <t>4／17水曜→柘榴</t>
  </si>
  <si>
    <t>4／18木曜→カナ</t>
  </si>
  <si>
    <t>4／19金曜→カーマ</t>
  </si>
  <si>
    <t>4／20土曜→弓月、イリヤ</t>
  </si>
  <si>
    <t>4／21日曜→柘榴</t>
  </si>
  <si>
    <t>4／22月曜→カーマ</t>
  </si>
  <si>
    <t>4／23火曜→柘榴</t>
  </si>
  <si>
    <t>4／24水曜→カナ</t>
  </si>
  <si>
    <t>4／25木曜→イリヤ</t>
  </si>
  <si>
    <t>4／26金曜→美咲</t>
  </si>
  <si>
    <t>4／27土曜→美咲、ことみ</t>
  </si>
  <si>
    <t>4／28日曜→カナ</t>
  </si>
  <si>
    <t>4／29月曜→カナ</t>
  </si>
  <si>
    <t>4／30火曜→カナ</t>
  </si>
  <si>
    <t>5／1水曜→カーマ</t>
  </si>
  <si>
    <t>5／2木曜→ロキ、ののか</t>
  </si>
  <si>
    <t>5／3金曜→柘榴</t>
  </si>
  <si>
    <t>5／4土曜→美咲、柘榴</t>
  </si>
  <si>
    <t>2019年4月 特殊シフト</t>
    <rPh sb="4" eb="5">
      <t>ネン</t>
    </rPh>
    <rPh sb="6" eb="7">
      <t>ガツ</t>
    </rPh>
    <rPh sb="8" eb="10">
      <t>トクシュ</t>
    </rPh>
    <phoneticPr fontId="1"/>
  </si>
  <si>
    <t>2日日曜 柘榴</t>
  </si>
  <si>
    <t>3日月曜 カーマ</t>
  </si>
  <si>
    <t>4日火曜 イリヤ</t>
  </si>
  <si>
    <t>5日水曜 柘榴</t>
  </si>
  <si>
    <t>6日木曜 カナ</t>
  </si>
  <si>
    <t>7日金曜 柘榴</t>
  </si>
  <si>
    <t>8日土曜 美咲、ことみ</t>
  </si>
  <si>
    <t>9日日曜 カナ</t>
  </si>
  <si>
    <t>10日月曜 カーマ</t>
  </si>
  <si>
    <t>11日火曜 柘榴</t>
  </si>
  <si>
    <t>12日水曜 カーマ</t>
  </si>
  <si>
    <t>13日木曜 カーマ</t>
  </si>
  <si>
    <t>14日金曜 イリヤ</t>
  </si>
  <si>
    <t>15日土曜 イリヤ、カーマ</t>
  </si>
  <si>
    <t>16日日曜 柘榴</t>
  </si>
  <si>
    <t>17日月曜 カナ</t>
  </si>
  <si>
    <t>18日火曜 柘榴</t>
  </si>
  <si>
    <t>19日水曜 柘榴</t>
  </si>
  <si>
    <t>20日木曜 イリヤ</t>
  </si>
  <si>
    <t>21日金曜 カーマ</t>
  </si>
  <si>
    <t>22日土曜 美咲、イリヤ</t>
  </si>
  <si>
    <t>23日日曜 カナ</t>
  </si>
  <si>
    <t>24日月曜 カーマ</t>
  </si>
  <si>
    <t>25日火曜 柘榴</t>
  </si>
  <si>
    <t>26日水曜 カナ</t>
  </si>
  <si>
    <t>27日木曜 カーマ</t>
  </si>
  <si>
    <t>28日金曜 イリヤ</t>
  </si>
  <si>
    <t>29日土曜 美咲、カーマ</t>
  </si>
  <si>
    <t>30日日曜 柘榴</t>
  </si>
  <si>
    <t>1日土曜 ののか、美咲、イリヤ</t>
  </si>
  <si>
    <t>1日土曜 ののか、美咲、イリヤ</t>
    <phoneticPr fontId="1"/>
  </si>
  <si>
    <t>21日日曜 カーマ</t>
  </si>
  <si>
    <t>22日月曜 休み</t>
  </si>
  <si>
    <t>25日木曜 カーマ</t>
  </si>
  <si>
    <t>26日金曜 イリヤ</t>
  </si>
  <si>
    <t>27日土曜 イリヤ、カーマ</t>
  </si>
  <si>
    <t>28日日曜 ことみ</t>
  </si>
  <si>
    <t>29日月曜 未定</t>
  </si>
  <si>
    <t>30日火曜 柘榴</t>
  </si>
  <si>
    <t>31日水曜 カーマ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</si>
</sst>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abSelected="1" topLeftCell="A13" workbookViewId="0">
      <selection activeCell="O27" sqref="O27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139</v>
      </c>
      <c r="B2" s="2">
        <v>2</v>
      </c>
      <c r="C2" s="2">
        <v>1</v>
      </c>
      <c r="D2" s="2" t="s">
        <v>36</v>
      </c>
      <c r="E2" s="2" t="str">
        <f>REPLACE(A2,B2,C2,D2)</f>
        <v>1日(土曜 ののか、美咲、イリヤ</v>
      </c>
      <c r="F2" s="2">
        <v>5</v>
      </c>
      <c r="G2" s="2">
        <v>1</v>
      </c>
      <c r="H2" s="2" t="s">
        <v>37</v>
      </c>
      <c r="I2" s="2" t="str">
        <f>REPLACE(E2,F2,G2,H2)</f>
        <v>1日(土)&lt;/td&gt;&lt;td&gt; ののか、美咲、イリヤ</v>
      </c>
      <c r="J2" s="2">
        <v>4</v>
      </c>
      <c r="K2" s="2">
        <v>1</v>
      </c>
      <c r="L2" s="2" t="s">
        <v>37</v>
      </c>
      <c r="M2" s="2" t="str">
        <f>MID(I2,J2,K2)</f>
        <v>土</v>
      </c>
      <c r="N2" s="2" t="str">
        <f t="shared" ref="N2:N11" si="0">IF(OR(M2="土", M2="日"), "&lt;tr class='weekend'&gt;&lt;td&gt;"&amp;I2, "&lt;tr&gt;&lt;td&gt;"&amp;I2)</f>
        <v>&lt;tr class='weekend'&gt;&lt;td&gt;1日(土)&lt;/td&gt;&lt;td&gt; ののか、美咲、イリヤ</v>
      </c>
      <c r="O2" t="str">
        <f t="shared" ref="O2:O11" si="1">IF(M2="日", N2&amp;"&lt;span class='event_font'&gt;&amp;nbsp&amp;nbspセット料金半額DAY!&lt;/span&gt;&lt;/td&gt;&lt;/tr&gt;",N2&amp;"&lt;/td&gt;&lt;/tr&gt;")</f>
        <v>&lt;tr class='weekend'&gt;&lt;td&gt;1日(土)&lt;/td&gt;&lt;td&gt; ののか、美咲、イリヤ&lt;/td&gt;&lt;/tr&gt;</v>
      </c>
    </row>
    <row r="3" spans="1:15" ht="18" x14ac:dyDescent="0.2">
      <c r="A3" s="8" t="s">
        <v>110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2日(日曜 柘榴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2日(日)&lt;/td&gt;&lt;td&gt; 柘榴</v>
      </c>
      <c r="J3" s="2">
        <v>4</v>
      </c>
      <c r="K3" s="2">
        <v>1</v>
      </c>
      <c r="L3" s="2" t="s">
        <v>37</v>
      </c>
      <c r="M3" s="2" t="str">
        <f t="shared" ref="M3:M31" si="4">MID(I3,J3,K3)</f>
        <v>日</v>
      </c>
      <c r="N3" s="2" t="str">
        <f t="shared" si="0"/>
        <v>&lt;tr class='weekend'&gt;&lt;td&gt;2日(日)&lt;/td&gt;&lt;td&gt; 柘榴</v>
      </c>
      <c r="O3" t="str">
        <f t="shared" si="1"/>
        <v>&lt;tr class='weekend'&gt;&lt;td&gt;2日(日)&lt;/td&gt;&lt;td&gt; 柘榴&lt;span class='event_font'&gt;&amp;nbsp&amp;nbspセット料金半額DAY!&lt;/span&gt;&lt;/td&gt;&lt;/tr&gt;</v>
      </c>
    </row>
    <row r="4" spans="1:15" ht="18" x14ac:dyDescent="0.2">
      <c r="A4" s="8" t="s">
        <v>111</v>
      </c>
      <c r="B4" s="2">
        <v>2</v>
      </c>
      <c r="C4" s="2">
        <v>1</v>
      </c>
      <c r="D4" s="2" t="s">
        <v>36</v>
      </c>
      <c r="E4" s="2" t="str">
        <f t="shared" si="2"/>
        <v>3日(月曜 カーマ</v>
      </c>
      <c r="F4" s="2">
        <v>5</v>
      </c>
      <c r="G4" s="2">
        <v>1</v>
      </c>
      <c r="H4" s="2" t="s">
        <v>37</v>
      </c>
      <c r="I4" s="2" t="str">
        <f t="shared" si="3"/>
        <v>3日(月)&lt;/td&gt;&lt;td&gt; カーマ</v>
      </c>
      <c r="J4" s="2">
        <v>4</v>
      </c>
      <c r="K4" s="2">
        <v>1</v>
      </c>
      <c r="L4" s="2" t="s">
        <v>37</v>
      </c>
      <c r="M4" s="2" t="str">
        <f t="shared" si="4"/>
        <v>月</v>
      </c>
      <c r="N4" s="2" t="str">
        <f t="shared" si="0"/>
        <v>&lt;tr&gt;&lt;td&gt;3日(月)&lt;/td&gt;&lt;td&gt; カーマ</v>
      </c>
      <c r="O4" t="str">
        <f t="shared" si="1"/>
        <v>&lt;tr&gt;&lt;td&gt;3日(月)&lt;/td&gt;&lt;td&gt; カーマ&lt;/td&gt;&lt;/tr&gt;</v>
      </c>
    </row>
    <row r="5" spans="1:15" ht="18" x14ac:dyDescent="0.2">
      <c r="A5" s="8" t="s">
        <v>112</v>
      </c>
      <c r="B5" s="2">
        <v>2</v>
      </c>
      <c r="C5" s="2">
        <v>1</v>
      </c>
      <c r="D5" s="2" t="s">
        <v>36</v>
      </c>
      <c r="E5" s="2" t="str">
        <f t="shared" si="2"/>
        <v>4日(火曜 イリヤ</v>
      </c>
      <c r="F5" s="2">
        <v>5</v>
      </c>
      <c r="G5" s="2">
        <v>1</v>
      </c>
      <c r="H5" s="2" t="s">
        <v>37</v>
      </c>
      <c r="I5" s="2" t="str">
        <f t="shared" si="3"/>
        <v>4日(火)&lt;/td&gt;&lt;td&gt; イリヤ</v>
      </c>
      <c r="J5" s="2">
        <v>4</v>
      </c>
      <c r="K5" s="2">
        <v>1</v>
      </c>
      <c r="L5" s="2" t="s">
        <v>37</v>
      </c>
      <c r="M5" s="2" t="str">
        <f t="shared" si="4"/>
        <v>火</v>
      </c>
      <c r="N5" s="2" t="str">
        <f t="shared" si="0"/>
        <v>&lt;tr&gt;&lt;td&gt;4日(火)&lt;/td&gt;&lt;td&gt; イリヤ</v>
      </c>
      <c r="O5" t="str">
        <f t="shared" si="1"/>
        <v>&lt;tr&gt;&lt;td&gt;4日(火)&lt;/td&gt;&lt;td&gt; イリヤ&lt;/td&gt;&lt;/tr&gt;</v>
      </c>
    </row>
    <row r="6" spans="1:15" ht="18" x14ac:dyDescent="0.2">
      <c r="A6" s="9" t="s">
        <v>113</v>
      </c>
      <c r="B6" s="2">
        <v>2</v>
      </c>
      <c r="C6" s="2">
        <v>1</v>
      </c>
      <c r="D6" s="2" t="s">
        <v>36</v>
      </c>
      <c r="E6" s="2" t="str">
        <f t="shared" si="2"/>
        <v>5日(水曜 柘榴</v>
      </c>
      <c r="F6" s="2">
        <v>5</v>
      </c>
      <c r="G6" s="2">
        <v>1</v>
      </c>
      <c r="H6" s="2" t="s">
        <v>37</v>
      </c>
      <c r="I6" s="2" t="str">
        <f t="shared" si="3"/>
        <v>5日(水)&lt;/td&gt;&lt;td&gt; 柘榴</v>
      </c>
      <c r="J6" s="2">
        <v>4</v>
      </c>
      <c r="K6" s="2">
        <v>1</v>
      </c>
      <c r="L6" s="2" t="s">
        <v>37</v>
      </c>
      <c r="M6" s="2" t="str">
        <f t="shared" si="4"/>
        <v>水</v>
      </c>
      <c r="N6" s="2" t="str">
        <f t="shared" si="0"/>
        <v>&lt;tr&gt;&lt;td&gt;5日(水)&lt;/td&gt;&lt;td&gt; 柘榴</v>
      </c>
      <c r="O6" t="str">
        <f t="shared" si="1"/>
        <v>&lt;tr&gt;&lt;td&gt;5日(水)&lt;/td&gt;&lt;td&gt; 柘榴&lt;/td&gt;&lt;/tr&gt;</v>
      </c>
    </row>
    <row r="7" spans="1:15" ht="18" x14ac:dyDescent="0.2">
      <c r="A7" s="9" t="s">
        <v>114</v>
      </c>
      <c r="B7" s="2">
        <v>2</v>
      </c>
      <c r="C7" s="2">
        <v>1</v>
      </c>
      <c r="D7" s="2" t="s">
        <v>36</v>
      </c>
      <c r="E7" s="2" t="str">
        <f t="shared" si="2"/>
        <v>6日(木曜 カナ</v>
      </c>
      <c r="F7" s="2">
        <v>5</v>
      </c>
      <c r="G7" s="2">
        <v>1</v>
      </c>
      <c r="H7" s="2" t="s">
        <v>37</v>
      </c>
      <c r="I7" s="2" t="str">
        <f t="shared" si="3"/>
        <v>6日(木)&lt;/td&gt;&lt;td&gt; カナ</v>
      </c>
      <c r="J7" s="2">
        <v>4</v>
      </c>
      <c r="K7" s="2">
        <v>1</v>
      </c>
      <c r="L7" s="2" t="s">
        <v>37</v>
      </c>
      <c r="M7" s="2" t="str">
        <f t="shared" si="4"/>
        <v>木</v>
      </c>
      <c r="N7" s="2" t="str">
        <f t="shared" si="0"/>
        <v>&lt;tr&gt;&lt;td&gt;6日(木)&lt;/td&gt;&lt;td&gt; カナ</v>
      </c>
      <c r="O7" t="str">
        <f t="shared" si="1"/>
        <v>&lt;tr&gt;&lt;td&gt;6日(木)&lt;/td&gt;&lt;td&gt; カナ&lt;/td&gt;&lt;/tr&gt;</v>
      </c>
    </row>
    <row r="8" spans="1:15" ht="18" x14ac:dyDescent="0.2">
      <c r="A8" s="9" t="s">
        <v>115</v>
      </c>
      <c r="B8" s="2">
        <v>2</v>
      </c>
      <c r="C8" s="2">
        <v>1</v>
      </c>
      <c r="D8" s="2" t="s">
        <v>36</v>
      </c>
      <c r="E8" s="2" t="str">
        <f t="shared" si="2"/>
        <v>7日(金曜 柘榴</v>
      </c>
      <c r="F8" s="2">
        <v>5</v>
      </c>
      <c r="G8" s="2">
        <v>1</v>
      </c>
      <c r="H8" s="2" t="s">
        <v>37</v>
      </c>
      <c r="I8" s="2" t="str">
        <f t="shared" si="3"/>
        <v>7日(金)&lt;/td&gt;&lt;td&gt; 柘榴</v>
      </c>
      <c r="J8" s="2">
        <v>4</v>
      </c>
      <c r="K8" s="2">
        <v>1</v>
      </c>
      <c r="L8" s="2" t="s">
        <v>37</v>
      </c>
      <c r="M8" s="2" t="str">
        <f t="shared" si="4"/>
        <v>金</v>
      </c>
      <c r="N8" s="2" t="str">
        <f t="shared" si="0"/>
        <v>&lt;tr&gt;&lt;td&gt;7日(金)&lt;/td&gt;&lt;td&gt; 柘榴</v>
      </c>
      <c r="O8" t="str">
        <f t="shared" si="1"/>
        <v>&lt;tr&gt;&lt;td&gt;7日(金)&lt;/td&gt;&lt;td&gt; 柘榴&lt;/td&gt;&lt;/tr&gt;</v>
      </c>
    </row>
    <row r="9" spans="1:15" ht="18" x14ac:dyDescent="0.2">
      <c r="A9" s="9" t="s">
        <v>116</v>
      </c>
      <c r="B9" s="2">
        <v>2</v>
      </c>
      <c r="C9" s="2">
        <v>1</v>
      </c>
      <c r="D9" s="2" t="s">
        <v>36</v>
      </c>
      <c r="E9" s="2" t="str">
        <f t="shared" si="2"/>
        <v>8日(土曜 美咲、ことみ</v>
      </c>
      <c r="F9" s="2">
        <v>5</v>
      </c>
      <c r="G9" s="2">
        <v>1</v>
      </c>
      <c r="H9" s="2" t="s">
        <v>37</v>
      </c>
      <c r="I9" s="2" t="str">
        <f t="shared" si="3"/>
        <v>8日(土)&lt;/td&gt;&lt;td&gt; 美咲、ことみ</v>
      </c>
      <c r="J9" s="2">
        <v>4</v>
      </c>
      <c r="K9" s="2">
        <v>1</v>
      </c>
      <c r="L9" s="2" t="s">
        <v>37</v>
      </c>
      <c r="M9" s="2" t="str">
        <f t="shared" si="4"/>
        <v>土</v>
      </c>
      <c r="N9" s="2" t="str">
        <f t="shared" si="0"/>
        <v>&lt;tr class='weekend'&gt;&lt;td&gt;8日(土)&lt;/td&gt;&lt;td&gt; 美咲、ことみ</v>
      </c>
      <c r="O9" t="str">
        <f t="shared" si="1"/>
        <v>&lt;tr class='weekend'&gt;&lt;td&gt;8日(土)&lt;/td&gt;&lt;td&gt; 美咲、ことみ&lt;/td&gt;&lt;/tr&gt;</v>
      </c>
    </row>
    <row r="10" spans="1:15" ht="18" x14ac:dyDescent="0.2">
      <c r="A10" s="9" t="s">
        <v>117</v>
      </c>
      <c r="B10" s="2">
        <v>2</v>
      </c>
      <c r="C10" s="2">
        <v>1</v>
      </c>
      <c r="D10" s="2" t="s">
        <v>36</v>
      </c>
      <c r="E10" s="2" t="str">
        <f t="shared" si="2"/>
        <v>9日(日曜 カナ</v>
      </c>
      <c r="F10" s="2">
        <v>5</v>
      </c>
      <c r="G10" s="2">
        <v>1</v>
      </c>
      <c r="H10" s="2" t="s">
        <v>37</v>
      </c>
      <c r="I10" s="2" t="str">
        <f t="shared" si="3"/>
        <v>9日(日)&lt;/td&gt;&lt;td&gt; カナ</v>
      </c>
      <c r="J10" s="2">
        <v>4</v>
      </c>
      <c r="K10" s="2">
        <v>1</v>
      </c>
      <c r="L10" s="2" t="s">
        <v>37</v>
      </c>
      <c r="M10" s="2" t="str">
        <f t="shared" si="4"/>
        <v>日</v>
      </c>
      <c r="N10" s="2" t="str">
        <f t="shared" si="0"/>
        <v>&lt;tr class='weekend'&gt;&lt;td&gt;9日(日)&lt;/td&gt;&lt;td&gt; カナ</v>
      </c>
      <c r="O10" t="str">
        <f t="shared" si="1"/>
        <v>&lt;tr class='weekend'&gt;&lt;td&gt;9日(日)&lt;/td&gt;&lt;td&gt; カナ&lt;span class='event_font'&gt;&amp;nbsp&amp;nbspセット料金半額DAY!&lt;/span&gt;&lt;/td&gt;&lt;/tr&gt;</v>
      </c>
    </row>
    <row r="11" spans="1:15" ht="18" x14ac:dyDescent="0.2">
      <c r="A11" s="9" t="s">
        <v>118</v>
      </c>
      <c r="B11" s="2">
        <v>3</v>
      </c>
      <c r="C11" s="2">
        <v>1</v>
      </c>
      <c r="D11" s="2" t="s">
        <v>36</v>
      </c>
      <c r="E11" s="2" t="str">
        <f>REPLACE(A11,B11,C11,D11)</f>
        <v>10日(月曜 カーマ</v>
      </c>
      <c r="F11" s="2">
        <v>6</v>
      </c>
      <c r="G11" s="2">
        <v>1</v>
      </c>
      <c r="H11" s="2" t="s">
        <v>37</v>
      </c>
      <c r="I11" s="2" t="str">
        <f>REPLACE(E11,F11,G11,H11)</f>
        <v>10日(月)&lt;/td&gt;&lt;td&gt; カーマ</v>
      </c>
      <c r="J11" s="2">
        <v>5</v>
      </c>
      <c r="K11" s="2">
        <v>1</v>
      </c>
      <c r="L11" s="2" t="s">
        <v>37</v>
      </c>
      <c r="M11" s="2" t="str">
        <f t="shared" si="4"/>
        <v>月</v>
      </c>
      <c r="N11" s="2" t="str">
        <f t="shared" si="0"/>
        <v>&lt;tr&gt;&lt;td&gt;10日(月)&lt;/td&gt;&lt;td&gt; カーマ</v>
      </c>
      <c r="O11" t="str">
        <f t="shared" si="1"/>
        <v>&lt;tr&gt;&lt;td&gt;10日(月)&lt;/td&gt;&lt;td&gt; カーマ&lt;/td&gt;&lt;/tr&gt;</v>
      </c>
    </row>
    <row r="12" spans="1:15" ht="18" x14ac:dyDescent="0.2">
      <c r="A12" s="9" t="s">
        <v>119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11日(火曜 柘榴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11日(火)&lt;/td&gt;&lt;td&gt; 柘榴</v>
      </c>
      <c r="J12" s="2">
        <v>5</v>
      </c>
      <c r="K12" s="2">
        <v>1</v>
      </c>
      <c r="L12" s="2" t="s">
        <v>37</v>
      </c>
      <c r="M12" s="2" t="str">
        <f t="shared" si="4"/>
        <v>火</v>
      </c>
      <c r="N12" s="2" t="str">
        <f>IF(OR(M12="土", M12="日"), "&lt;tr class='weekend'&gt;&lt;td&gt;"&amp;I12, "&lt;tr&gt;&lt;td&gt;"&amp;I12)</f>
        <v>&lt;tr&gt;&lt;td&gt;11日(火)&lt;/td&gt;&lt;td&gt; 柘榴</v>
      </c>
      <c r="O12" t="str">
        <f>IF(M12="日", N12&amp;"&lt;span class='event_font'&gt;&amp;nbsp&amp;nbspセット料金半額DAY!&lt;/span&gt;&lt;/td&gt;&lt;/tr&gt;",N12&amp;"&lt;/td&gt;&lt;/tr&gt;")</f>
        <v>&lt;tr&gt;&lt;td&gt;11日(火)&lt;/td&gt;&lt;td&gt; 柘榴&lt;/td&gt;&lt;/tr&gt;</v>
      </c>
    </row>
    <row r="13" spans="1:15" ht="18" x14ac:dyDescent="0.2">
      <c r="A13" s="9" t="s">
        <v>120</v>
      </c>
      <c r="B13" s="2">
        <v>3</v>
      </c>
      <c r="C13" s="2">
        <v>1</v>
      </c>
      <c r="D13" s="2" t="s">
        <v>36</v>
      </c>
      <c r="E13" s="2" t="str">
        <f t="shared" si="5"/>
        <v>12日(水曜 カーマ</v>
      </c>
      <c r="F13" s="2">
        <v>6</v>
      </c>
      <c r="G13" s="2">
        <v>1</v>
      </c>
      <c r="H13" s="2" t="s">
        <v>37</v>
      </c>
      <c r="I13" s="2" t="str">
        <f t="shared" si="6"/>
        <v>12日(水)&lt;/td&gt;&lt;td&gt; カーマ</v>
      </c>
      <c r="J13" s="2">
        <v>5</v>
      </c>
      <c r="K13" s="2">
        <v>1</v>
      </c>
      <c r="L13" s="2" t="s">
        <v>37</v>
      </c>
      <c r="M13" s="2" t="str">
        <f t="shared" si="4"/>
        <v>水</v>
      </c>
      <c r="N13" s="2" t="str">
        <f t="shared" ref="N13:N31" si="7">IF(OR(M13="土", M13="日"), "&lt;tr class='weekend'&gt;&lt;td&gt;"&amp;I13, "&lt;tr&gt;&lt;td&gt;"&amp;I13)</f>
        <v>&lt;tr&gt;&lt;td&gt;12日(水)&lt;/td&gt;&lt;td&gt; カーマ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&lt;tr&gt;&lt;td&gt;12日(水)&lt;/td&gt;&lt;td&gt; カーマ&lt;/td&gt;&lt;/tr&gt;</v>
      </c>
    </row>
    <row r="14" spans="1:15" ht="18" x14ac:dyDescent="0.2">
      <c r="A14" s="9" t="s">
        <v>121</v>
      </c>
      <c r="B14" s="2">
        <v>3</v>
      </c>
      <c r="C14" s="2">
        <v>1</v>
      </c>
      <c r="D14" s="2" t="s">
        <v>36</v>
      </c>
      <c r="E14" s="2" t="str">
        <f t="shared" si="5"/>
        <v>13日(木曜 カーマ</v>
      </c>
      <c r="F14" s="2">
        <v>6</v>
      </c>
      <c r="G14" s="2">
        <v>1</v>
      </c>
      <c r="H14" s="2" t="s">
        <v>37</v>
      </c>
      <c r="I14" s="2" t="str">
        <f t="shared" si="6"/>
        <v>13日(木)&lt;/td&gt;&lt;td&gt; カーマ</v>
      </c>
      <c r="J14" s="2">
        <v>5</v>
      </c>
      <c r="K14" s="2">
        <v>1</v>
      </c>
      <c r="L14" s="2" t="s">
        <v>37</v>
      </c>
      <c r="M14" s="2" t="str">
        <f t="shared" si="4"/>
        <v>木</v>
      </c>
      <c r="N14" s="2" t="str">
        <f t="shared" si="7"/>
        <v>&lt;tr&gt;&lt;td&gt;13日(木)&lt;/td&gt;&lt;td&gt; カーマ</v>
      </c>
      <c r="O14" t="str">
        <f t="shared" si="8"/>
        <v>&lt;tr&gt;&lt;td&gt;13日(木)&lt;/td&gt;&lt;td&gt; カーマ&lt;/td&gt;&lt;/tr&gt;</v>
      </c>
    </row>
    <row r="15" spans="1:15" ht="18" x14ac:dyDescent="0.2">
      <c r="A15" s="9" t="s">
        <v>122</v>
      </c>
      <c r="B15" s="2">
        <v>3</v>
      </c>
      <c r="C15" s="2">
        <v>1</v>
      </c>
      <c r="D15" s="2" t="s">
        <v>36</v>
      </c>
      <c r="E15" s="2" t="str">
        <f t="shared" si="5"/>
        <v>14日(金曜 イリヤ</v>
      </c>
      <c r="F15" s="2">
        <v>6</v>
      </c>
      <c r="G15" s="2">
        <v>1</v>
      </c>
      <c r="H15" s="2" t="s">
        <v>37</v>
      </c>
      <c r="I15" s="2" t="str">
        <f t="shared" si="6"/>
        <v>14日(金)&lt;/td&gt;&lt;td&gt; イリヤ</v>
      </c>
      <c r="J15" s="2">
        <v>5</v>
      </c>
      <c r="K15" s="2">
        <v>1</v>
      </c>
      <c r="L15" s="2" t="s">
        <v>37</v>
      </c>
      <c r="M15" s="2" t="str">
        <f t="shared" si="4"/>
        <v>金</v>
      </c>
      <c r="N15" s="2" t="str">
        <f t="shared" si="7"/>
        <v>&lt;tr&gt;&lt;td&gt;14日(金)&lt;/td&gt;&lt;td&gt; イリヤ</v>
      </c>
      <c r="O15" t="str">
        <f t="shared" si="8"/>
        <v>&lt;tr&gt;&lt;td&gt;14日(金)&lt;/td&gt;&lt;td&gt; イリヤ&lt;/td&gt;&lt;/tr&gt;</v>
      </c>
    </row>
    <row r="16" spans="1:15" ht="18" x14ac:dyDescent="0.2">
      <c r="A16" s="9" t="s">
        <v>123</v>
      </c>
      <c r="B16" s="2">
        <v>3</v>
      </c>
      <c r="C16" s="2">
        <v>1</v>
      </c>
      <c r="D16" s="2" t="s">
        <v>36</v>
      </c>
      <c r="E16" s="2" t="str">
        <f t="shared" si="5"/>
        <v>15日(土曜 イリヤ、カーマ</v>
      </c>
      <c r="F16" s="2">
        <v>6</v>
      </c>
      <c r="G16" s="2">
        <v>1</v>
      </c>
      <c r="H16" s="2" t="s">
        <v>37</v>
      </c>
      <c r="I16" s="2" t="str">
        <f t="shared" si="6"/>
        <v>15日(土)&lt;/td&gt;&lt;td&gt; イリヤ、カーマ</v>
      </c>
      <c r="J16" s="2">
        <v>5</v>
      </c>
      <c r="K16" s="2">
        <v>1</v>
      </c>
      <c r="L16" s="2" t="s">
        <v>37</v>
      </c>
      <c r="M16" s="2" t="str">
        <f t="shared" si="4"/>
        <v>土</v>
      </c>
      <c r="N16" s="2" t="str">
        <f t="shared" si="7"/>
        <v>&lt;tr class='weekend'&gt;&lt;td&gt;15日(土)&lt;/td&gt;&lt;td&gt; イリヤ、カーマ</v>
      </c>
      <c r="O16" t="str">
        <f t="shared" si="8"/>
        <v>&lt;tr class='weekend'&gt;&lt;td&gt;15日(土)&lt;/td&gt;&lt;td&gt; イリヤ、カーマ&lt;/td&gt;&lt;/tr&gt;</v>
      </c>
    </row>
    <row r="17" spans="1:15" ht="18" x14ac:dyDescent="0.2">
      <c r="A17" s="9" t="s">
        <v>124</v>
      </c>
      <c r="B17" s="2">
        <v>3</v>
      </c>
      <c r="C17" s="2">
        <v>1</v>
      </c>
      <c r="D17" s="2" t="s">
        <v>36</v>
      </c>
      <c r="E17" s="2" t="str">
        <f t="shared" si="5"/>
        <v>16日(日曜 柘榴</v>
      </c>
      <c r="F17" s="2">
        <v>6</v>
      </c>
      <c r="G17" s="2">
        <v>1</v>
      </c>
      <c r="H17" s="2" t="s">
        <v>37</v>
      </c>
      <c r="I17" s="2" t="str">
        <f t="shared" si="6"/>
        <v>16日(日)&lt;/td&gt;&lt;td&gt; 柘榴</v>
      </c>
      <c r="J17" s="2">
        <v>5</v>
      </c>
      <c r="K17" s="2">
        <v>1</v>
      </c>
      <c r="L17" s="2" t="s">
        <v>37</v>
      </c>
      <c r="M17" s="2" t="str">
        <f t="shared" si="4"/>
        <v>日</v>
      </c>
      <c r="N17" s="2" t="str">
        <f t="shared" si="7"/>
        <v>&lt;tr class='weekend'&gt;&lt;td&gt;16日(日)&lt;/td&gt;&lt;td&gt; 柘榴</v>
      </c>
      <c r="O17" t="str">
        <f t="shared" si="8"/>
        <v>&lt;tr class='weekend'&gt;&lt;td&gt;16日(日)&lt;/td&gt;&lt;td&gt; 柘榴&lt;span class='event_font'&gt;&amp;nbsp&amp;nbspセット料金半額DAY!&lt;/span&gt;&lt;/td&gt;&lt;/tr&gt;</v>
      </c>
    </row>
    <row r="18" spans="1:15" ht="18" x14ac:dyDescent="0.2">
      <c r="A18" s="9" t="s">
        <v>125</v>
      </c>
      <c r="B18" s="2">
        <v>3</v>
      </c>
      <c r="C18" s="2">
        <v>1</v>
      </c>
      <c r="D18" s="2" t="s">
        <v>36</v>
      </c>
      <c r="E18" s="2" t="str">
        <f t="shared" si="5"/>
        <v>17日(月曜 カナ</v>
      </c>
      <c r="F18" s="2">
        <v>6</v>
      </c>
      <c r="G18" s="2">
        <v>1</v>
      </c>
      <c r="H18" s="2" t="s">
        <v>37</v>
      </c>
      <c r="I18" s="2" t="str">
        <f t="shared" si="6"/>
        <v>17日(月)&lt;/td&gt;&lt;td&gt; カナ</v>
      </c>
      <c r="J18" s="2">
        <v>5</v>
      </c>
      <c r="K18" s="2">
        <v>1</v>
      </c>
      <c r="L18" s="2" t="s">
        <v>37</v>
      </c>
      <c r="M18" s="2" t="str">
        <f t="shared" si="4"/>
        <v>月</v>
      </c>
      <c r="N18" s="2" t="str">
        <f t="shared" si="7"/>
        <v>&lt;tr&gt;&lt;td&gt;17日(月)&lt;/td&gt;&lt;td&gt; カナ</v>
      </c>
      <c r="O18" t="str">
        <f t="shared" si="8"/>
        <v>&lt;tr&gt;&lt;td&gt;17日(月)&lt;/td&gt;&lt;td&gt; カナ&lt;/td&gt;&lt;/tr&gt;</v>
      </c>
    </row>
    <row r="19" spans="1:15" ht="18" x14ac:dyDescent="0.2">
      <c r="A19" s="9" t="s">
        <v>126</v>
      </c>
      <c r="B19" s="2">
        <v>3</v>
      </c>
      <c r="C19" s="2">
        <v>1</v>
      </c>
      <c r="D19" s="2" t="s">
        <v>36</v>
      </c>
      <c r="E19" s="2" t="str">
        <f t="shared" si="5"/>
        <v>18日(火曜 柘榴</v>
      </c>
      <c r="F19" s="2">
        <v>6</v>
      </c>
      <c r="G19" s="2">
        <v>1</v>
      </c>
      <c r="H19" s="2" t="s">
        <v>37</v>
      </c>
      <c r="I19" s="2" t="str">
        <f t="shared" si="6"/>
        <v>18日(火)&lt;/td&gt;&lt;td&gt;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火</v>
      </c>
      <c r="N19" s="2" t="str">
        <f t="shared" si="7"/>
        <v>&lt;tr&gt;&lt;td&gt;18日(火)&lt;/td&gt;&lt;td&gt; 柘榴</v>
      </c>
      <c r="O19" t="str">
        <f t="shared" si="8"/>
        <v>&lt;tr&gt;&lt;td&gt;18日(火)&lt;/td&gt;&lt;td&gt; 柘榴&lt;/td&gt;&lt;/tr&gt;</v>
      </c>
    </row>
    <row r="20" spans="1:15" ht="18" x14ac:dyDescent="0.2">
      <c r="A20" s="9" t="s">
        <v>127</v>
      </c>
      <c r="B20" s="2">
        <v>3</v>
      </c>
      <c r="C20" s="2">
        <v>1</v>
      </c>
      <c r="D20" s="2" t="s">
        <v>36</v>
      </c>
      <c r="E20" s="2" t="str">
        <f t="shared" si="5"/>
        <v>19日(水曜 柘榴</v>
      </c>
      <c r="F20" s="2">
        <v>6</v>
      </c>
      <c r="G20" s="2">
        <v>1</v>
      </c>
      <c r="H20" s="2" t="s">
        <v>37</v>
      </c>
      <c r="I20" s="2" t="str">
        <f t="shared" si="6"/>
        <v>19日(水)&lt;/td&gt;&lt;td&gt; 柘榴</v>
      </c>
      <c r="J20" s="2">
        <v>5</v>
      </c>
      <c r="K20" s="2">
        <v>1</v>
      </c>
      <c r="L20" s="2" t="s">
        <v>37</v>
      </c>
      <c r="M20" s="2" t="str">
        <f t="shared" si="4"/>
        <v>水</v>
      </c>
      <c r="N20" s="2" t="str">
        <f t="shared" si="7"/>
        <v>&lt;tr&gt;&lt;td&gt;19日(水)&lt;/td&gt;&lt;td&gt; 柘榴</v>
      </c>
      <c r="O20" t="str">
        <f t="shared" si="8"/>
        <v>&lt;tr&gt;&lt;td&gt;19日(水)&lt;/td&gt;&lt;td&gt; 柘榴&lt;/td&gt;&lt;/tr&gt;</v>
      </c>
    </row>
    <row r="21" spans="1:15" ht="18" x14ac:dyDescent="0.2">
      <c r="A21" s="9" t="s">
        <v>128</v>
      </c>
      <c r="B21" s="2">
        <v>3</v>
      </c>
      <c r="C21" s="2">
        <v>1</v>
      </c>
      <c r="D21" s="2" t="s">
        <v>36</v>
      </c>
      <c r="E21" s="2" t="str">
        <f t="shared" si="5"/>
        <v>20日(木曜 イリヤ</v>
      </c>
      <c r="F21" s="2">
        <v>6</v>
      </c>
      <c r="G21" s="2">
        <v>1</v>
      </c>
      <c r="H21" s="2" t="s">
        <v>37</v>
      </c>
      <c r="I21" s="2" t="str">
        <f t="shared" si="6"/>
        <v>20日(木)&lt;/td&gt;&lt;td&gt; イリヤ</v>
      </c>
      <c r="J21" s="2">
        <v>5</v>
      </c>
      <c r="K21" s="2">
        <v>1</v>
      </c>
      <c r="L21" s="2" t="s">
        <v>37</v>
      </c>
      <c r="M21" s="2" t="str">
        <f t="shared" si="4"/>
        <v>木</v>
      </c>
      <c r="N21" s="2" t="str">
        <f t="shared" si="7"/>
        <v>&lt;tr&gt;&lt;td&gt;20日(木)&lt;/td&gt;&lt;td&gt; イリヤ</v>
      </c>
      <c r="O21" t="str">
        <f t="shared" si="8"/>
        <v>&lt;tr&gt;&lt;td&gt;20日(木)&lt;/td&gt;&lt;td&gt; イリヤ&lt;/td&gt;&lt;/tr&gt;</v>
      </c>
    </row>
    <row r="22" spans="1:15" ht="18" x14ac:dyDescent="0.2">
      <c r="A22" s="8" t="s">
        <v>141</v>
      </c>
      <c r="B22" s="2">
        <v>3</v>
      </c>
      <c r="C22" s="2">
        <v>1</v>
      </c>
      <c r="D22" s="2" t="s">
        <v>36</v>
      </c>
      <c r="E22" s="2" t="str">
        <f t="shared" si="5"/>
        <v>21日(日曜 カーマ</v>
      </c>
      <c r="F22" s="2">
        <v>6</v>
      </c>
      <c r="G22" s="2">
        <v>1</v>
      </c>
      <c r="H22" s="2" t="s">
        <v>37</v>
      </c>
      <c r="I22" s="2" t="str">
        <f t="shared" si="6"/>
        <v>21日(日)&lt;/td&gt;&lt;td&gt; カーマ</v>
      </c>
      <c r="J22" s="2">
        <v>5</v>
      </c>
      <c r="K22" s="2">
        <v>1</v>
      </c>
      <c r="L22" s="2" t="s">
        <v>37</v>
      </c>
      <c r="M22" s="2" t="str">
        <f t="shared" si="4"/>
        <v>日</v>
      </c>
      <c r="N22" s="2" t="str">
        <f t="shared" si="7"/>
        <v>&lt;tr class='weekend'&gt;&lt;td&gt;21日(日)&lt;/td&gt;&lt;td&gt; カーマ</v>
      </c>
      <c r="O22" t="str">
        <f t="shared" si="8"/>
        <v>&lt;tr class='weekend'&gt;&lt;td&gt;21日(日)&lt;/td&gt;&lt;td&gt; カーマ&lt;span class='event_font'&gt;&amp;nbsp&amp;nbspセット料金半額DAY!&lt;/span&gt;&lt;/td&gt;&lt;/tr&gt;</v>
      </c>
    </row>
    <row r="23" spans="1:15" ht="18" x14ac:dyDescent="0.2">
      <c r="A23" s="8" t="s">
        <v>142</v>
      </c>
      <c r="B23" s="2">
        <v>3</v>
      </c>
      <c r="C23" s="2">
        <v>1</v>
      </c>
      <c r="D23" s="2" t="s">
        <v>36</v>
      </c>
      <c r="E23" s="2" t="str">
        <f t="shared" si="5"/>
        <v>22日(月曜 休み</v>
      </c>
      <c r="F23" s="2">
        <v>6</v>
      </c>
      <c r="G23" s="2">
        <v>1</v>
      </c>
      <c r="H23" s="2" t="s">
        <v>37</v>
      </c>
      <c r="I23" s="2" t="str">
        <f t="shared" si="6"/>
        <v>22日(月)&lt;/td&gt;&lt;td&gt; 休み</v>
      </c>
      <c r="J23" s="2">
        <v>5</v>
      </c>
      <c r="K23" s="2">
        <v>1</v>
      </c>
      <c r="L23" s="2" t="s">
        <v>37</v>
      </c>
      <c r="M23" s="2" t="str">
        <f t="shared" si="4"/>
        <v>月</v>
      </c>
      <c r="N23" s="2" t="str">
        <f t="shared" si="7"/>
        <v>&lt;tr&gt;&lt;td&gt;22日(月)&lt;/td&gt;&lt;td&gt; 休み</v>
      </c>
      <c r="O23" t="str">
        <f t="shared" si="8"/>
        <v>&lt;tr&gt;&lt;td&gt;22日(月)&lt;/td&gt;&lt;td&gt; 休み&lt;/td&gt;&lt;/tr&gt;</v>
      </c>
    </row>
    <row r="24" spans="1:15" ht="18" x14ac:dyDescent="0.2">
      <c r="A24" s="8" t="s">
        <v>22</v>
      </c>
      <c r="B24" s="2">
        <v>3</v>
      </c>
      <c r="C24" s="2">
        <v>1</v>
      </c>
      <c r="D24" s="2" t="s">
        <v>36</v>
      </c>
      <c r="E24" s="2" t="str">
        <f t="shared" si="5"/>
        <v>23日(火曜 カーマ</v>
      </c>
      <c r="F24" s="2">
        <v>6</v>
      </c>
      <c r="G24" s="2">
        <v>1</v>
      </c>
      <c r="H24" s="2" t="s">
        <v>37</v>
      </c>
      <c r="I24" s="2" t="str">
        <f t="shared" si="6"/>
        <v>23日(火)&lt;/td&gt;&lt;td&gt; カーマ</v>
      </c>
      <c r="J24" s="2">
        <v>5</v>
      </c>
      <c r="K24" s="2">
        <v>1</v>
      </c>
      <c r="L24" s="2" t="s">
        <v>37</v>
      </c>
      <c r="M24" s="2" t="str">
        <f t="shared" si="4"/>
        <v>火</v>
      </c>
      <c r="N24" s="2" t="str">
        <f t="shared" si="7"/>
        <v>&lt;tr&gt;&lt;td&gt;23日(火)&lt;/td&gt;&lt;td&gt; カーマ</v>
      </c>
      <c r="O24" t="str">
        <f t="shared" si="8"/>
        <v>&lt;tr&gt;&lt;td&gt;23日(火)&lt;/td&gt;&lt;td&gt; カーマ&lt;/td&gt;&lt;/tr&gt;</v>
      </c>
    </row>
    <row r="25" spans="1:15" ht="18" x14ac:dyDescent="0.2">
      <c r="A25" s="8" t="s">
        <v>23</v>
      </c>
      <c r="B25" s="2">
        <v>3</v>
      </c>
      <c r="C25" s="2">
        <v>1</v>
      </c>
      <c r="D25" s="2" t="s">
        <v>36</v>
      </c>
      <c r="E25" s="2" t="str">
        <f t="shared" si="5"/>
        <v>24日(水曜 柘榴</v>
      </c>
      <c r="F25" s="2">
        <v>6</v>
      </c>
      <c r="G25" s="2">
        <v>1</v>
      </c>
      <c r="H25" s="2" t="s">
        <v>37</v>
      </c>
      <c r="I25" s="2" t="str">
        <f t="shared" si="6"/>
        <v>24日(水)&lt;/td&gt;&lt;td&gt; 柘榴</v>
      </c>
      <c r="J25" s="2">
        <v>5</v>
      </c>
      <c r="K25" s="2">
        <v>1</v>
      </c>
      <c r="L25" s="2" t="s">
        <v>37</v>
      </c>
      <c r="M25" s="2" t="str">
        <f t="shared" si="4"/>
        <v>水</v>
      </c>
      <c r="N25" s="2" t="str">
        <f t="shared" si="7"/>
        <v>&lt;tr&gt;&lt;td&gt;24日(水)&lt;/td&gt;&lt;td&gt; 柘榴</v>
      </c>
      <c r="O25" t="str">
        <f t="shared" si="8"/>
        <v>&lt;tr&gt;&lt;td&gt;24日(水)&lt;/td&gt;&lt;td&gt; 柘榴&lt;/td&gt;&lt;/tr&gt;</v>
      </c>
    </row>
    <row r="26" spans="1:15" ht="18" x14ac:dyDescent="0.2">
      <c r="A26" s="8" t="s">
        <v>143</v>
      </c>
      <c r="B26" s="2">
        <v>3</v>
      </c>
      <c r="C26" s="2">
        <v>1</v>
      </c>
      <c r="D26" s="2" t="s">
        <v>36</v>
      </c>
      <c r="E26" s="2" t="str">
        <f t="shared" si="5"/>
        <v>25日(木曜 カーマ</v>
      </c>
      <c r="F26" s="2">
        <v>6</v>
      </c>
      <c r="G26" s="2">
        <v>1</v>
      </c>
      <c r="H26" s="2" t="s">
        <v>37</v>
      </c>
      <c r="I26" s="2" t="str">
        <f t="shared" si="6"/>
        <v>25日(木)&lt;/td&gt;&lt;td&gt; カーマ</v>
      </c>
      <c r="J26" s="2">
        <v>5</v>
      </c>
      <c r="K26" s="2">
        <v>1</v>
      </c>
      <c r="L26" s="2" t="s">
        <v>37</v>
      </c>
      <c r="M26" s="2" t="str">
        <f t="shared" si="4"/>
        <v>木</v>
      </c>
      <c r="N26" s="2" t="str">
        <f t="shared" si="7"/>
        <v>&lt;tr&gt;&lt;td&gt;25日(木)&lt;/td&gt;&lt;td&gt; カーマ</v>
      </c>
      <c r="O26" t="str">
        <f t="shared" si="8"/>
        <v>&lt;tr&gt;&lt;td&gt;25日(木)&lt;/td&gt;&lt;td&gt; カーマ&lt;/td&gt;&lt;/tr&gt;</v>
      </c>
    </row>
    <row r="27" spans="1:15" ht="18" x14ac:dyDescent="0.2">
      <c r="A27" s="8" t="s">
        <v>144</v>
      </c>
      <c r="B27" s="2">
        <v>3</v>
      </c>
      <c r="C27" s="2">
        <v>1</v>
      </c>
      <c r="D27" s="2" t="s">
        <v>36</v>
      </c>
      <c r="E27" s="2" t="str">
        <f t="shared" si="5"/>
        <v>26日(金曜 イリヤ</v>
      </c>
      <c r="F27" s="2">
        <v>6</v>
      </c>
      <c r="G27" s="2">
        <v>1</v>
      </c>
      <c r="H27" s="2" t="s">
        <v>37</v>
      </c>
      <c r="I27" s="2" t="str">
        <f t="shared" si="6"/>
        <v>26日(金)&lt;/td&gt;&lt;td&gt; イリヤ</v>
      </c>
      <c r="J27" s="2">
        <v>5</v>
      </c>
      <c r="K27" s="2">
        <v>1</v>
      </c>
      <c r="L27" s="2" t="s">
        <v>37</v>
      </c>
      <c r="M27" s="2" t="str">
        <f t="shared" si="4"/>
        <v>金</v>
      </c>
      <c r="N27" s="2" t="str">
        <f t="shared" si="7"/>
        <v>&lt;tr&gt;&lt;td&gt;26日(金)&lt;/td&gt;&lt;td&gt; イリヤ</v>
      </c>
      <c r="O27" t="str">
        <f t="shared" si="8"/>
        <v>&lt;tr&gt;&lt;td&gt;26日(金)&lt;/td&gt;&lt;td&gt; イリヤ&lt;/td&gt;&lt;/tr&gt;</v>
      </c>
    </row>
    <row r="28" spans="1:15" ht="18" x14ac:dyDescent="0.2">
      <c r="A28" s="8" t="s">
        <v>145</v>
      </c>
      <c r="B28" s="2">
        <v>3</v>
      </c>
      <c r="C28" s="2">
        <v>1</v>
      </c>
      <c r="D28" s="2" t="s">
        <v>36</v>
      </c>
      <c r="E28" s="2" t="str">
        <f t="shared" si="5"/>
        <v>27日(土曜 イリヤ、カーマ</v>
      </c>
      <c r="F28" s="2">
        <v>6</v>
      </c>
      <c r="G28" s="2">
        <v>1</v>
      </c>
      <c r="H28" s="2" t="s">
        <v>37</v>
      </c>
      <c r="I28" s="2" t="str">
        <f t="shared" si="6"/>
        <v>27日(土)&lt;/td&gt;&lt;td&gt; イリヤ、カーマ</v>
      </c>
      <c r="J28" s="2">
        <v>5</v>
      </c>
      <c r="K28" s="2">
        <v>1</v>
      </c>
      <c r="L28" s="2" t="s">
        <v>37</v>
      </c>
      <c r="M28" s="2" t="str">
        <f t="shared" si="4"/>
        <v>土</v>
      </c>
      <c r="N28" s="2" t="str">
        <f t="shared" si="7"/>
        <v>&lt;tr class='weekend'&gt;&lt;td&gt;27日(土)&lt;/td&gt;&lt;td&gt; イリヤ、カーマ</v>
      </c>
      <c r="O28" t="str">
        <f t="shared" si="8"/>
        <v>&lt;tr class='weekend'&gt;&lt;td&gt;27日(土)&lt;/td&gt;&lt;td&gt; イリヤ、カーマ&lt;/td&gt;&lt;/tr&gt;</v>
      </c>
    </row>
    <row r="29" spans="1:15" ht="18" x14ac:dyDescent="0.2">
      <c r="A29" s="8" t="s">
        <v>146</v>
      </c>
      <c r="B29" s="2">
        <v>3</v>
      </c>
      <c r="C29" s="2">
        <v>1</v>
      </c>
      <c r="D29" s="2" t="s">
        <v>36</v>
      </c>
      <c r="E29" s="2" t="str">
        <f t="shared" si="5"/>
        <v>28日(日曜 ことみ</v>
      </c>
      <c r="F29" s="2">
        <v>6</v>
      </c>
      <c r="G29" s="2">
        <v>1</v>
      </c>
      <c r="H29" s="2" t="s">
        <v>37</v>
      </c>
      <c r="I29" s="2" t="str">
        <f t="shared" si="6"/>
        <v>28日(日)&lt;/td&gt;&lt;td&gt; ことみ</v>
      </c>
      <c r="J29" s="2">
        <v>5</v>
      </c>
      <c r="K29" s="2">
        <v>1</v>
      </c>
      <c r="L29" s="2" t="s">
        <v>37</v>
      </c>
      <c r="M29" s="2" t="str">
        <f t="shared" si="4"/>
        <v>日</v>
      </c>
      <c r="N29" s="2" t="str">
        <f t="shared" si="7"/>
        <v>&lt;tr class='weekend'&gt;&lt;td&gt;28日(日)&lt;/td&gt;&lt;td&gt; ことみ</v>
      </c>
      <c r="O29" t="str">
        <f t="shared" si="8"/>
        <v>&lt;tr class='weekend'&gt;&lt;td&gt;28日(日)&lt;/td&gt;&lt;td&gt; ことみ&lt;span class='event_font'&gt;&amp;nbsp&amp;nbspセット料金半額DAY!&lt;/span&gt;&lt;/td&gt;&lt;/tr&gt;</v>
      </c>
    </row>
    <row r="30" spans="1:15" ht="18" x14ac:dyDescent="0.2">
      <c r="A30" s="8" t="s">
        <v>147</v>
      </c>
      <c r="B30" s="2">
        <v>3</v>
      </c>
      <c r="C30" s="2">
        <v>1</v>
      </c>
      <c r="D30" s="2" t="s">
        <v>36</v>
      </c>
      <c r="E30" s="2" t="str">
        <f t="shared" si="5"/>
        <v>29日(月曜 未定</v>
      </c>
      <c r="F30" s="2">
        <v>6</v>
      </c>
      <c r="G30" s="2">
        <v>1</v>
      </c>
      <c r="H30" s="2" t="s">
        <v>37</v>
      </c>
      <c r="I30" s="2" t="str">
        <f t="shared" si="6"/>
        <v>29日(月)&lt;/td&gt;&lt;td&gt; 未定</v>
      </c>
      <c r="J30" s="2">
        <v>5</v>
      </c>
      <c r="K30" s="2">
        <v>1</v>
      </c>
      <c r="L30" s="2" t="s">
        <v>37</v>
      </c>
      <c r="M30" s="2" t="str">
        <f t="shared" si="4"/>
        <v>月</v>
      </c>
      <c r="N30" s="2" t="str">
        <f t="shared" si="7"/>
        <v>&lt;tr&gt;&lt;td&gt;29日(月)&lt;/td&gt;&lt;td&gt; 未定</v>
      </c>
      <c r="O30" t="str">
        <f t="shared" si="8"/>
        <v>&lt;tr&gt;&lt;td&gt;29日(月)&lt;/td&gt;&lt;td&gt; 未定&lt;/td&gt;&lt;/tr&gt;</v>
      </c>
    </row>
    <row r="31" spans="1:15" ht="18" x14ac:dyDescent="0.2">
      <c r="A31" s="8" t="s">
        <v>148</v>
      </c>
      <c r="B31" s="2">
        <v>3</v>
      </c>
      <c r="C31" s="2">
        <v>1</v>
      </c>
      <c r="D31" s="2" t="s">
        <v>36</v>
      </c>
      <c r="E31" s="2" t="str">
        <f t="shared" si="5"/>
        <v>30日(火曜 柘榴</v>
      </c>
      <c r="F31" s="2">
        <v>6</v>
      </c>
      <c r="G31" s="2">
        <v>1</v>
      </c>
      <c r="H31" s="2" t="s">
        <v>37</v>
      </c>
      <c r="I31" s="2" t="str">
        <f t="shared" si="6"/>
        <v>30日(火)&lt;/td&gt;&lt;td&gt;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火</v>
      </c>
      <c r="N31" s="2" t="str">
        <f t="shared" si="7"/>
        <v>&lt;tr&gt;&lt;td&gt;30日(火)&lt;/td&gt;&lt;td&gt; 柘榴</v>
      </c>
      <c r="O31" t="str">
        <f t="shared" si="8"/>
        <v>&lt;tr&gt;&lt;td&gt;30日(火)&lt;/td&gt;&lt;td&gt; 柘榴&lt;/td&gt;&lt;/tr&gt;</v>
      </c>
    </row>
    <row r="32" spans="1:15" ht="18" x14ac:dyDescent="0.2">
      <c r="A32" s="8" t="s">
        <v>149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31日(水曜 カーマ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31日(水)&lt;/td&gt;&lt;td&gt; カーマ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水</v>
      </c>
      <c r="N32" s="2" t="str">
        <f t="shared" ref="N32" si="12">IF(OR(M32="土", M32="日"), "&lt;tr class='weekend'&gt;&lt;td&gt;"&amp;I32, "&lt;tr&gt;&lt;td&gt;"&amp;I32)</f>
        <v>&lt;tr&gt;&lt;td&gt;31日(水)&lt;/td&gt;&lt;td&gt; カーマ</v>
      </c>
      <c r="O32" t="str">
        <f t="shared" si="8"/>
        <v>&lt;tr&gt;&lt;td&gt;31日(水)&lt;/td&gt;&lt;td&gt; 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5"/>
  <sheetViews>
    <sheetView topLeftCell="A9" workbookViewId="0">
      <selection activeCell="A2" sqref="A2:A31"/>
    </sheetView>
  </sheetViews>
  <sheetFormatPr defaultRowHeight="13.2" zeroHeight="1" x14ac:dyDescent="0.2"/>
  <cols>
    <col min="1" max="1" width="41.33203125" bestFit="1" customWidth="1"/>
    <col min="3" max="3" width="44.109375" bestFit="1" customWidth="1"/>
  </cols>
  <sheetData>
    <row r="1" spans="1:1" hidden="1" x14ac:dyDescent="0.2">
      <c r="A1" s="3"/>
    </row>
    <row r="2" spans="1:1" ht="18" x14ac:dyDescent="0.2">
      <c r="A2" s="8" t="s">
        <v>140</v>
      </c>
    </row>
    <row r="3" spans="1:1" ht="18" x14ac:dyDescent="0.2">
      <c r="A3" s="8" t="s">
        <v>110</v>
      </c>
    </row>
    <row r="4" spans="1:1" ht="18" x14ac:dyDescent="0.2">
      <c r="A4" s="8" t="s">
        <v>111</v>
      </c>
    </row>
    <row r="5" spans="1:1" ht="18" x14ac:dyDescent="0.2">
      <c r="A5" s="8" t="s">
        <v>112</v>
      </c>
    </row>
    <row r="6" spans="1:1" ht="18" x14ac:dyDescent="0.2">
      <c r="A6" s="8" t="s">
        <v>113</v>
      </c>
    </row>
    <row r="7" spans="1:1" ht="18" x14ac:dyDescent="0.2">
      <c r="A7" s="8" t="s">
        <v>114</v>
      </c>
    </row>
    <row r="8" spans="1:1" ht="18" x14ac:dyDescent="0.2">
      <c r="A8" s="8" t="s">
        <v>115</v>
      </c>
    </row>
    <row r="9" spans="1:1" ht="18" x14ac:dyDescent="0.2">
      <c r="A9" s="8" t="s">
        <v>116</v>
      </c>
    </row>
    <row r="10" spans="1:1" ht="18" x14ac:dyDescent="0.2">
      <c r="A10" s="8" t="s">
        <v>117</v>
      </c>
    </row>
    <row r="11" spans="1:1" ht="18" x14ac:dyDescent="0.2">
      <c r="A11" s="8" t="s">
        <v>118</v>
      </c>
    </row>
    <row r="12" spans="1:1" ht="18" x14ac:dyDescent="0.2">
      <c r="A12" s="8" t="s">
        <v>119</v>
      </c>
    </row>
    <row r="13" spans="1:1" ht="18" x14ac:dyDescent="0.2">
      <c r="A13" s="8" t="s">
        <v>120</v>
      </c>
    </row>
    <row r="14" spans="1:1" ht="18" x14ac:dyDescent="0.2">
      <c r="A14" s="8" t="s">
        <v>121</v>
      </c>
    </row>
    <row r="15" spans="1:1" ht="18" x14ac:dyDescent="0.2">
      <c r="A15" s="8" t="s">
        <v>122</v>
      </c>
    </row>
    <row r="16" spans="1:1" ht="18" x14ac:dyDescent="0.2">
      <c r="A16" s="8" t="s">
        <v>123</v>
      </c>
    </row>
    <row r="17" spans="1:1" ht="18" x14ac:dyDescent="0.2">
      <c r="A17" s="8" t="s">
        <v>124</v>
      </c>
    </row>
    <row r="18" spans="1:1" ht="18" x14ac:dyDescent="0.2">
      <c r="A18" s="8" t="s">
        <v>125</v>
      </c>
    </row>
    <row r="19" spans="1:1" ht="18" x14ac:dyDescent="0.2">
      <c r="A19" s="8" t="s">
        <v>126</v>
      </c>
    </row>
    <row r="20" spans="1:1" ht="18" x14ac:dyDescent="0.2">
      <c r="A20" s="8" t="s">
        <v>127</v>
      </c>
    </row>
    <row r="21" spans="1:1" ht="18" x14ac:dyDescent="0.2">
      <c r="A21" s="8" t="s">
        <v>128</v>
      </c>
    </row>
    <row r="22" spans="1:1" ht="18" x14ac:dyDescent="0.2">
      <c r="A22" s="8" t="s">
        <v>129</v>
      </c>
    </row>
    <row r="23" spans="1:1" ht="18" x14ac:dyDescent="0.2">
      <c r="A23" s="8" t="s">
        <v>130</v>
      </c>
    </row>
    <row r="24" spans="1:1" ht="18" x14ac:dyDescent="0.2">
      <c r="A24" s="8" t="s">
        <v>131</v>
      </c>
    </row>
    <row r="25" spans="1:1" ht="18" x14ac:dyDescent="0.2">
      <c r="A25" s="8" t="s">
        <v>132</v>
      </c>
    </row>
    <row r="26" spans="1:1" ht="18" x14ac:dyDescent="0.2">
      <c r="A26" s="8" t="s">
        <v>133</v>
      </c>
    </row>
    <row r="27" spans="1:1" ht="18" x14ac:dyDescent="0.2">
      <c r="A27" s="8" t="s">
        <v>134</v>
      </c>
    </row>
    <row r="28" spans="1:1" ht="18" x14ac:dyDescent="0.2">
      <c r="A28" s="8" t="s">
        <v>135</v>
      </c>
    </row>
    <row r="29" spans="1:1" ht="18" x14ac:dyDescent="0.2">
      <c r="A29" s="8" t="s">
        <v>136</v>
      </c>
    </row>
    <row r="30" spans="1:1" ht="18" x14ac:dyDescent="0.2">
      <c r="A30" s="8" t="s">
        <v>137</v>
      </c>
    </row>
    <row r="31" spans="1:1" ht="18" x14ac:dyDescent="0.2">
      <c r="A31" s="8" t="s">
        <v>138</v>
      </c>
    </row>
    <row r="32" spans="1:1" x14ac:dyDescent="0.2"/>
    <row r="33" x14ac:dyDescent="0.2"/>
    <row r="34" x14ac:dyDescent="0.2"/>
    <row r="35" x14ac:dyDescent="0.2"/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35"/>
  <sheetViews>
    <sheetView workbookViewId="0">
      <selection activeCell="B6" sqref="B6"/>
    </sheetView>
  </sheetViews>
  <sheetFormatPr defaultRowHeight="13.2" x14ac:dyDescent="0.2"/>
  <cols>
    <col min="1" max="1" width="44.109375" bestFit="1" customWidth="1"/>
  </cols>
  <sheetData>
    <row r="1" spans="1:1" x14ac:dyDescent="0.2">
      <c r="A1" t="s">
        <v>109</v>
      </c>
    </row>
    <row r="2" spans="1:1" x14ac:dyDescent="0.2">
      <c r="A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  <row r="10" spans="1:1" x14ac:dyDescent="0.2">
      <c r="A10" t="s">
        <v>83</v>
      </c>
    </row>
    <row r="11" spans="1:1" x14ac:dyDescent="0.2">
      <c r="A11" t="s">
        <v>84</v>
      </c>
    </row>
    <row r="12" spans="1:1" x14ac:dyDescent="0.2">
      <c r="A12" t="s">
        <v>85</v>
      </c>
    </row>
    <row r="13" spans="1:1" x14ac:dyDescent="0.2">
      <c r="A13" t="s">
        <v>86</v>
      </c>
    </row>
    <row r="14" spans="1:1" x14ac:dyDescent="0.2">
      <c r="A14" t="s">
        <v>87</v>
      </c>
    </row>
    <row r="15" spans="1:1" x14ac:dyDescent="0.2">
      <c r="A15" t="s">
        <v>88</v>
      </c>
    </row>
    <row r="16" spans="1:1" x14ac:dyDescent="0.2">
      <c r="A16" t="s">
        <v>89</v>
      </c>
    </row>
    <row r="17" spans="1:1" x14ac:dyDescent="0.2">
      <c r="A17" t="s">
        <v>90</v>
      </c>
    </row>
    <row r="18" spans="1:1" x14ac:dyDescent="0.2">
      <c r="A18" t="s">
        <v>91</v>
      </c>
    </row>
    <row r="19" spans="1:1" x14ac:dyDescent="0.2">
      <c r="A19" t="s">
        <v>92</v>
      </c>
    </row>
    <row r="20" spans="1:1" x14ac:dyDescent="0.2">
      <c r="A20" t="s">
        <v>93</v>
      </c>
    </row>
    <row r="21" spans="1:1" x14ac:dyDescent="0.2">
      <c r="A21" t="s">
        <v>94</v>
      </c>
    </row>
    <row r="22" spans="1:1" x14ac:dyDescent="0.2">
      <c r="A22" t="s">
        <v>95</v>
      </c>
    </row>
    <row r="23" spans="1:1" x14ac:dyDescent="0.2">
      <c r="A23" t="s">
        <v>96</v>
      </c>
    </row>
    <row r="24" spans="1:1" x14ac:dyDescent="0.2">
      <c r="A24" t="s">
        <v>97</v>
      </c>
    </row>
    <row r="25" spans="1:1" x14ac:dyDescent="0.2">
      <c r="A25" t="s">
        <v>98</v>
      </c>
    </row>
    <row r="26" spans="1:1" x14ac:dyDescent="0.2">
      <c r="A26" t="s">
        <v>99</v>
      </c>
    </row>
    <row r="27" spans="1:1" x14ac:dyDescent="0.2">
      <c r="A27" t="s">
        <v>100</v>
      </c>
    </row>
    <row r="28" spans="1:1" x14ac:dyDescent="0.2">
      <c r="A28" t="s">
        <v>101</v>
      </c>
    </row>
    <row r="29" spans="1:1" x14ac:dyDescent="0.2">
      <c r="A29" t="s">
        <v>102</v>
      </c>
    </row>
    <row r="30" spans="1:1" x14ac:dyDescent="0.2">
      <c r="A30" t="s">
        <v>103</v>
      </c>
    </row>
    <row r="31" spans="1:1" x14ac:dyDescent="0.2">
      <c r="A31" t="s">
        <v>104</v>
      </c>
    </row>
    <row r="32" spans="1:1" x14ac:dyDescent="0.2">
      <c r="A32" t="s">
        <v>105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2019-07-14T03:59:02Z</dcterms:modified>
</cp:coreProperties>
</file>