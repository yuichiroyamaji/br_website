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"/>
    </mc:Choice>
  </mc:AlternateContent>
  <xr:revisionPtr revIDLastSave="0" documentId="13_ncr:1_{88C06CCB-9C3E-4E58-ABF4-2A91F6C4A914}" xr6:coauthVersionLast="45" xr6:coauthVersionMax="45" xr10:uidLastSave="{00000000-0000-0000-0000-000000000000}"/>
  <bookViews>
    <workbookView xWindow="-2265" yWindow="-15870" windowWidth="25440" windowHeight="15390" activeTab="1" xr2:uid="{00000000-000D-0000-FFFF-FFFF00000000}"/>
  </bookViews>
  <sheets>
    <sheet name="Sheet1" sheetId="1" r:id="rId1"/>
    <sheet name="20190901" sheetId="5" r:id="rId2"/>
    <sheet name="en" sheetId="4" r:id="rId3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2" i="5" l="1"/>
  <c r="E32" i="5" s="1"/>
  <c r="I32" i="5" s="1"/>
  <c r="M32" i="5" s="1"/>
  <c r="D31" i="5"/>
  <c r="E31" i="5" s="1"/>
  <c r="I31" i="5" s="1"/>
  <c r="M31" i="5" s="1"/>
  <c r="D30" i="5"/>
  <c r="E30" i="5" s="1"/>
  <c r="I30" i="5" s="1"/>
  <c r="M30" i="5" s="1"/>
  <c r="D29" i="5"/>
  <c r="E29" i="5" s="1"/>
  <c r="I29" i="5" s="1"/>
  <c r="M29" i="5" s="1"/>
  <c r="D28" i="5"/>
  <c r="E28" i="5" s="1"/>
  <c r="I28" i="5" s="1"/>
  <c r="M28" i="5" s="1"/>
  <c r="D27" i="5"/>
  <c r="D26" i="5"/>
  <c r="E26" i="5" s="1"/>
  <c r="I26" i="5" s="1"/>
  <c r="M26" i="5" s="1"/>
  <c r="D25" i="5"/>
  <c r="E25" i="5" s="1"/>
  <c r="I25" i="5" s="1"/>
  <c r="M25" i="5" s="1"/>
  <c r="D24" i="5"/>
  <c r="E24" i="5" s="1"/>
  <c r="I24" i="5" s="1"/>
  <c r="M24" i="5" s="1"/>
  <c r="D23" i="5"/>
  <c r="E23" i="5" s="1"/>
  <c r="I23" i="5" s="1"/>
  <c r="M23" i="5" s="1"/>
  <c r="D22" i="5"/>
  <c r="D21" i="5"/>
  <c r="E21" i="5" s="1"/>
  <c r="I21" i="5" s="1"/>
  <c r="M21" i="5" s="1"/>
  <c r="D20" i="5"/>
  <c r="E20" i="5" s="1"/>
  <c r="I20" i="5" s="1"/>
  <c r="M20" i="5" s="1"/>
  <c r="D19" i="5"/>
  <c r="E19" i="5" s="1"/>
  <c r="I19" i="5" s="1"/>
  <c r="M19" i="5" s="1"/>
  <c r="D18" i="5"/>
  <c r="D17" i="5"/>
  <c r="E17" i="5" s="1"/>
  <c r="I17" i="5" s="1"/>
  <c r="M17" i="5" s="1"/>
  <c r="D16" i="5"/>
  <c r="E16" i="5" s="1"/>
  <c r="I16" i="5" s="1"/>
  <c r="M16" i="5" s="1"/>
  <c r="D15" i="5"/>
  <c r="E15" i="5" s="1"/>
  <c r="I15" i="5" s="1"/>
  <c r="M15" i="5" s="1"/>
  <c r="D14" i="5"/>
  <c r="E14" i="5" s="1"/>
  <c r="I14" i="5" s="1"/>
  <c r="M14" i="5" s="1"/>
  <c r="D13" i="5"/>
  <c r="E13" i="5" s="1"/>
  <c r="I13" i="5" s="1"/>
  <c r="M13" i="5" s="1"/>
  <c r="D12" i="5"/>
  <c r="E12" i="5" s="1"/>
  <c r="I12" i="5" s="1"/>
  <c r="M12" i="5" s="1"/>
  <c r="D11" i="5"/>
  <c r="E11" i="5" s="1"/>
  <c r="I11" i="5" s="1"/>
  <c r="M11" i="5" s="1"/>
  <c r="E27" i="5"/>
  <c r="I27" i="5" s="1"/>
  <c r="M27" i="5" s="1"/>
  <c r="E22" i="5"/>
  <c r="I22" i="5" s="1"/>
  <c r="M22" i="5" s="1"/>
  <c r="E18" i="5"/>
  <c r="I18" i="5" s="1"/>
  <c r="M18" i="5" s="1"/>
  <c r="D10" i="5"/>
  <c r="E10" i="5" s="1"/>
  <c r="I10" i="5" s="1"/>
  <c r="M10" i="5" s="1"/>
  <c r="D9" i="5"/>
  <c r="E9" i="5" s="1"/>
  <c r="I9" i="5" s="1"/>
  <c r="M9" i="5" s="1"/>
  <c r="D8" i="5"/>
  <c r="E8" i="5" s="1"/>
  <c r="I8" i="5" s="1"/>
  <c r="M8" i="5" s="1"/>
  <c r="D7" i="5"/>
  <c r="E7" i="5" s="1"/>
  <c r="I7" i="5" s="1"/>
  <c r="M7" i="5" s="1"/>
  <c r="D6" i="5"/>
  <c r="E6" i="5" s="1"/>
  <c r="I6" i="5" s="1"/>
  <c r="M6" i="5" s="1"/>
  <c r="D5" i="5"/>
  <c r="E5" i="5" s="1"/>
  <c r="I5" i="5" s="1"/>
  <c r="M5" i="5" s="1"/>
  <c r="D4" i="5"/>
  <c r="E4" i="5" s="1"/>
  <c r="I4" i="5" s="1"/>
  <c r="M4" i="5" s="1"/>
  <c r="D3" i="5"/>
  <c r="E3" i="5" s="1"/>
  <c r="I3" i="5" s="1"/>
  <c r="M3" i="5" s="1"/>
  <c r="D2" i="5"/>
  <c r="E2" i="5" s="1"/>
  <c r="I2" i="5" s="1"/>
  <c r="M2" i="5" s="1"/>
  <c r="O2" i="5" l="1"/>
  <c r="P2" i="5" s="1"/>
  <c r="O25" i="5"/>
  <c r="P25" i="5" s="1"/>
  <c r="O9" i="5"/>
  <c r="P9" i="5" s="1"/>
  <c r="O16" i="5"/>
  <c r="P16" i="5" s="1"/>
  <c r="O24" i="5"/>
  <c r="P24" i="5" s="1"/>
  <c r="O12" i="5"/>
  <c r="P12" i="5" s="1"/>
  <c r="O5" i="5"/>
  <c r="P5" i="5" s="1"/>
  <c r="O20" i="5"/>
  <c r="P20" i="5" s="1"/>
  <c r="O18" i="5"/>
  <c r="P18" i="5" s="1"/>
  <c r="O26" i="5"/>
  <c r="P26" i="5" s="1"/>
  <c r="O6" i="5"/>
  <c r="P6" i="5" s="1"/>
  <c r="O21" i="5"/>
  <c r="P21" i="5" s="1"/>
  <c r="O27" i="5"/>
  <c r="P27" i="5" s="1"/>
  <c r="O17" i="5"/>
  <c r="P17" i="5" s="1"/>
  <c r="O19" i="5"/>
  <c r="P19" i="5" s="1"/>
  <c r="O7" i="5"/>
  <c r="P7" i="5" s="1"/>
  <c r="O28" i="5"/>
  <c r="P28" i="5" s="1"/>
  <c r="O29" i="5"/>
  <c r="P29" i="5" s="1"/>
  <c r="O30" i="5"/>
  <c r="P30" i="5" s="1"/>
  <c r="O8" i="5"/>
  <c r="P8" i="5" s="1"/>
  <c r="O15" i="5"/>
  <c r="P15" i="5" s="1"/>
  <c r="O31" i="5"/>
  <c r="P31" i="5" s="1"/>
  <c r="O3" i="5"/>
  <c r="P3" i="5" s="1"/>
  <c r="O4" i="5"/>
  <c r="P4" i="5" s="1"/>
  <c r="O13" i="5"/>
  <c r="P13" i="5" s="1"/>
  <c r="O10" i="5"/>
  <c r="P10" i="5" s="1"/>
  <c r="O23" i="5"/>
  <c r="P23" i="5" s="1"/>
  <c r="O32" i="5"/>
  <c r="P32" i="5" s="1"/>
  <c r="O11" i="5"/>
  <c r="P11" i="5" s="1"/>
  <c r="O14" i="5"/>
  <c r="P14" i="5" s="1"/>
  <c r="O22" i="5"/>
  <c r="P22" i="5" s="1"/>
  <c r="E32" i="1"/>
  <c r="I32" i="1" s="1"/>
  <c r="M32" i="1" s="1"/>
  <c r="N32" i="1" s="1"/>
  <c r="O32" i="1" l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 s="1"/>
  <c r="Q16" i="4" s="1"/>
  <c r="M24" i="4"/>
  <c r="O24" i="4" s="1"/>
  <c r="P24" i="4" s="1"/>
  <c r="Q24" i="4" s="1"/>
  <c r="M9" i="4"/>
  <c r="O9" i="4" s="1"/>
  <c r="P9" i="4" s="1"/>
  <c r="Q9" i="4" s="1"/>
  <c r="M21" i="4"/>
  <c r="O21" i="4" s="1"/>
  <c r="P21" i="4" s="1"/>
  <c r="Q21" i="4" s="1"/>
  <c r="M5" i="4"/>
  <c r="O5" i="4" s="1"/>
  <c r="P5" i="4" s="1"/>
  <c r="Q5" i="4" s="1"/>
  <c r="M31" i="4"/>
  <c r="O31" i="4" s="1"/>
  <c r="P31" i="4" s="1"/>
  <c r="Q31" i="4" s="1"/>
  <c r="M18" i="4"/>
  <c r="O18" i="4" s="1"/>
  <c r="P18" i="4" s="1"/>
  <c r="Q18" i="4" s="1"/>
  <c r="M26" i="4"/>
  <c r="O26" i="4" s="1"/>
  <c r="P26" i="4" s="1"/>
  <c r="Q26" i="4" s="1"/>
  <c r="M10" i="4"/>
  <c r="O10" i="4" s="1"/>
  <c r="P10" i="4" s="1"/>
  <c r="Q10" i="4" s="1"/>
  <c r="M28" i="4"/>
  <c r="O28" i="4" s="1"/>
  <c r="P28" i="4" s="1"/>
  <c r="Q28" i="4" s="1"/>
  <c r="M11" i="4"/>
  <c r="O11" i="4" s="1"/>
  <c r="P11" i="4" s="1"/>
  <c r="Q11" i="4" s="1"/>
  <c r="M30" i="4"/>
  <c r="O30" i="4" s="1"/>
  <c r="P30" i="4" s="1"/>
  <c r="Q30" i="4" s="1"/>
  <c r="M25" i="4"/>
  <c r="O25" i="4" s="1"/>
  <c r="P25" i="4" s="1"/>
  <c r="Q25" i="4" s="1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 s="1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<sst xmlns="http://schemas.openxmlformats.org/spreadsheetml/2006/main" count="382" uniqueCount="138">
  <si>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</si>
  <si>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</si>
  <si>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</si>
  <si>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</si>
  <si>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</si>
  <si>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</si>
  <si>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</si>
  <si>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</si>
  <si>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</si>
  <si>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</si>
  <si>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</si>
  <si>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</si>
  <si>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</si>
  <si>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</si>
  <si>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</si>
  <si>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</si>
  <si>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</si>
  <si>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</si>
  <si>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</si>
  <si>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</si>
  <si>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</si>
  <si>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</si>
  <si>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</si>
  <si>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</si>
  <si>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</si>
  <si>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</si>
  <si>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</si>
  <si>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</si>
  <si>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</si>
  <si>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</si>
  <si>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</si>
  <si>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</si>
  <si>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</si>
  <si>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</si>
  <si>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</si>
  <si>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</si>
  <si>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</si>
  <si>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</si>
  <si>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</si>
  <si>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</si>
  <si>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</si>
  <si>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</si>
  <si>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</si>
  <si>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</si>
  <si>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</si>
  <si>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</si>
  <si>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</si>
  <si>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</si>
  <si>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</si>
  <si>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</si>
  <si>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</si>
  <si>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</si>
  <si>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</si>
  <si>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</si>
  <si>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</si>
  <si>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</si>
  <si>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</si>
  <si>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</si>
  <si>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</si>
  <si>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</si>
  <si>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</si>
  <si>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</si>
  <si>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</si>
  <si>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</si>
  <si>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</si>
  <si>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</si>
  <si>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</si>
  <si>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</si>
  <si>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</si>
  <si>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</si>
  <si>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</si>
  <si>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</si>
  <si>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</si>
  <si>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</si>
  <si>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</si>
  <si>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1日木曜 イリヤ</t>
  </si>
  <si>
    <t>2日金曜 美咲</t>
  </si>
  <si>
    <t>3日土曜 美咲、イリヤ</t>
  </si>
  <si>
    <t>4日日曜 柘榴</t>
  </si>
  <si>
    <t>5日月曜 カーマ</t>
  </si>
  <si>
    <t>6日火曜 柘榴</t>
  </si>
  <si>
    <t>7日水曜 未定</t>
  </si>
  <si>
    <t>8日木曜 イリヤ</t>
  </si>
  <si>
    <t>9日金曜 カーマ</t>
  </si>
  <si>
    <t>10日土曜 淀川花火の為休業</t>
  </si>
  <si>
    <t>11日日曜 カーマ</t>
  </si>
  <si>
    <t>12日月曜 カナ</t>
  </si>
  <si>
    <t>13日火曜 イリヤ</t>
  </si>
  <si>
    <t>14日水曜  柘榴</t>
  </si>
  <si>
    <t>15日木曜 カナ</t>
  </si>
  <si>
    <t>16日金曜 ことみ</t>
  </si>
  <si>
    <t>17日土曜 美咲、柘榴</t>
  </si>
  <si>
    <t>18日日曜 柘榴</t>
  </si>
  <si>
    <t>19日月曜 カーマ</t>
  </si>
  <si>
    <t>20日火曜 カーマ</t>
  </si>
  <si>
    <t>21日水曜 柘榴</t>
  </si>
  <si>
    <t>22日木曜 カーマ</t>
  </si>
  <si>
    <t>23日金曜 ことみ</t>
  </si>
  <si>
    <t>24日土曜 イリヤ、新人ミカ</t>
  </si>
  <si>
    <t>25日日曜 柘榴</t>
  </si>
  <si>
    <t>26日月曜 未定</t>
  </si>
  <si>
    <t>27日火曜 カーマ</t>
  </si>
  <si>
    <t>28日水曜 柘榴</t>
  </si>
  <si>
    <t>29日木曜 カーマ</t>
  </si>
  <si>
    <t>30日金曜 柘榴</t>
  </si>
  <si>
    <t>31日土曜 美咲、カーマ</t>
  </si>
  <si>
    <t>休み処理</t>
    <rPh sb="0" eb="1">
      <t>ヤス</t>
    </rPh>
    <rPh sb="2" eb="4">
      <t>ショリ</t>
    </rPh>
    <phoneticPr fontId="1"/>
  </si>
  <si>
    <t>12/01(日)</t>
  </si>
  <si>
    <t>12/02(月)</t>
  </si>
  <si>
    <t>12/03(火)</t>
  </si>
  <si>
    <t>12/04(水)</t>
  </si>
  <si>
    <t>12/05(木) 柘榴</t>
  </si>
  <si>
    <t>12/06(金) ことみ</t>
  </si>
  <si>
    <t>12/07(土) カナ</t>
  </si>
  <si>
    <t>12/08(日)</t>
  </si>
  <si>
    <t>12/09(月)</t>
  </si>
  <si>
    <t>12/10(火)</t>
  </si>
  <si>
    <t>12/11(水)</t>
  </si>
  <si>
    <t>12/12(木) 柘榴</t>
  </si>
  <si>
    <t>12/13(金) ことみ</t>
  </si>
  <si>
    <t>12/14(土) 柘榴</t>
  </si>
  <si>
    <t>12/15(日) 柘榴</t>
  </si>
  <si>
    <t>12/16(月)</t>
  </si>
  <si>
    <t>12/17(火)</t>
  </si>
  <si>
    <t>12/18(水)</t>
  </si>
  <si>
    <t>12/19(木) 柘榴</t>
  </si>
  <si>
    <t>12/20(金) 柘榴</t>
  </si>
  <si>
    <t>12/21(土) イリヤ, ことみ 【イリヤバースデー】</t>
  </si>
  <si>
    <t>12/22(日)</t>
  </si>
  <si>
    <t>12/23(月)</t>
  </si>
  <si>
    <t>12/24(火)</t>
  </si>
  <si>
    <t>12/25(水)</t>
  </si>
  <si>
    <t>12/26(木) 柘榴</t>
  </si>
  <si>
    <t>12/27(金) 柘榴</t>
  </si>
  <si>
    <t>12/28(土) イリヤ</t>
  </si>
  <si>
    <t>12/29(日) カナ</t>
  </si>
  <si>
    <t>12/30(月) カナ</t>
  </si>
  <si>
    <t xml:space="preserve">12/31(火)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</si>
</sst>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  <xf numFmtId="0" fontId="7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workbookViewId="0">
      <selection activeCell="D2" sqref="D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75</v>
      </c>
      <c r="B2" s="2">
        <v>2</v>
      </c>
      <c r="C2" s="2">
        <v>1</v>
      </c>
      <c r="D2" s="2" t="s">
        <v>36</v>
      </c>
      <c r="E2" s="2" t="str">
        <f>REPLACE(A2,B2,C2,D2)</f>
        <v>1日(木曜 イリヤ</v>
      </c>
      <c r="F2" s="2">
        <v>5</v>
      </c>
      <c r="G2" s="2">
        <v>1</v>
      </c>
      <c r="H2" s="2" t="s">
        <v>37</v>
      </c>
      <c r="I2" s="2" t="str">
        <f>REPLACE(E2,F2,G2,H2)</f>
        <v>1日(木)&lt;/td&gt;&lt;td&gt; イリヤ</v>
      </c>
      <c r="J2" s="2">
        <v>4</v>
      </c>
      <c r="K2" s="2">
        <v>1</v>
      </c>
      <c r="L2" s="2" t="s">
        <v>37</v>
      </c>
      <c r="M2" s="2" t="str">
        <f>MID(I2,J2,K2)</f>
        <v>木</v>
      </c>
      <c r="N2" s="2" t="str">
        <f t="shared" ref="N2:N11" si="0">IF(OR(M2="土", M2="日"), "&lt;tr class='weekend'&gt;&lt;td&gt;"&amp;I2, "&lt;tr&gt;&lt;td&gt;"&amp;I2)</f>
        <v>&lt;tr&gt;&lt;td&gt;1日(木)&lt;/td&gt;&lt;td&gt; イリヤ</v>
      </c>
      <c r="O2" t="str">
        <f t="shared" ref="O2:O11" si="1">IF(M2="日", N2&amp;"&lt;span class='event_font'&gt;&amp;nbsp&amp;nbspセット料金半額DAY!&lt;/span&gt;&lt;/td&gt;&lt;/tr&gt;",N2&amp;"&lt;/td&gt;&lt;/tr&gt;")</f>
        <v>&lt;tr&gt;&lt;td&gt;1日(木)&lt;/td&gt;&lt;td&gt; イリヤ&lt;/td&gt;&lt;/tr&gt;</v>
      </c>
    </row>
    <row r="3" spans="1:15" ht="18" x14ac:dyDescent="0.2">
      <c r="A3" s="8" t="s">
        <v>76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2日(金曜 美咲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2日(金)&lt;/td&gt;&lt;td&gt; 美咲</v>
      </c>
      <c r="J3" s="2">
        <v>4</v>
      </c>
      <c r="K3" s="2">
        <v>1</v>
      </c>
      <c r="L3" s="2" t="s">
        <v>37</v>
      </c>
      <c r="M3" s="2" t="str">
        <f t="shared" ref="M3:M31" si="4">MID(I3,J3,K3)</f>
        <v>金</v>
      </c>
      <c r="N3" s="2" t="str">
        <f t="shared" si="0"/>
        <v>&lt;tr&gt;&lt;td&gt;2日(金)&lt;/td&gt;&lt;td&gt; 美咲</v>
      </c>
      <c r="O3" t="str">
        <f t="shared" si="1"/>
        <v>&lt;tr&gt;&lt;td&gt;2日(金)&lt;/td&gt;&lt;td&gt; 美咲&lt;/td&gt;&lt;/tr&gt;</v>
      </c>
    </row>
    <row r="4" spans="1:15" ht="18" x14ac:dyDescent="0.2">
      <c r="A4" s="8" t="s">
        <v>77</v>
      </c>
      <c r="B4" s="2">
        <v>2</v>
      </c>
      <c r="C4" s="2">
        <v>1</v>
      </c>
      <c r="D4" s="2" t="s">
        <v>36</v>
      </c>
      <c r="E4" s="2" t="str">
        <f t="shared" si="2"/>
        <v>3日(土曜 美咲、イリヤ</v>
      </c>
      <c r="F4" s="2">
        <v>5</v>
      </c>
      <c r="G4" s="2">
        <v>1</v>
      </c>
      <c r="H4" s="2" t="s">
        <v>37</v>
      </c>
      <c r="I4" s="2" t="str">
        <f t="shared" si="3"/>
        <v>3日(土)&lt;/td&gt;&lt;td&gt; 美咲、イリヤ</v>
      </c>
      <c r="J4" s="2">
        <v>4</v>
      </c>
      <c r="K4" s="2">
        <v>1</v>
      </c>
      <c r="L4" s="2" t="s">
        <v>37</v>
      </c>
      <c r="M4" s="2" t="str">
        <f t="shared" si="4"/>
        <v>土</v>
      </c>
      <c r="N4" s="2" t="str">
        <f t="shared" si="0"/>
        <v>&lt;tr class='weekend'&gt;&lt;td&gt;3日(土)&lt;/td&gt;&lt;td&gt; 美咲、イリヤ</v>
      </c>
      <c r="O4" t="str">
        <f t="shared" si="1"/>
        <v>&lt;tr class='weekend'&gt;&lt;td&gt;3日(土)&lt;/td&gt;&lt;td&gt; 美咲、イリヤ&lt;/td&gt;&lt;/tr&gt;</v>
      </c>
    </row>
    <row r="5" spans="1:15" ht="18" x14ac:dyDescent="0.2">
      <c r="A5" s="8" t="s">
        <v>78</v>
      </c>
      <c r="B5" s="2">
        <v>2</v>
      </c>
      <c r="C5" s="2">
        <v>1</v>
      </c>
      <c r="D5" s="2" t="s">
        <v>36</v>
      </c>
      <c r="E5" s="2" t="str">
        <f t="shared" si="2"/>
        <v>4日(日曜 柘榴</v>
      </c>
      <c r="F5" s="2">
        <v>5</v>
      </c>
      <c r="G5" s="2">
        <v>1</v>
      </c>
      <c r="H5" s="2" t="s">
        <v>37</v>
      </c>
      <c r="I5" s="2" t="str">
        <f t="shared" si="3"/>
        <v>4日(日)&lt;/td&gt;&lt;td&gt; 柘榴</v>
      </c>
      <c r="J5" s="2">
        <v>4</v>
      </c>
      <c r="K5" s="2">
        <v>1</v>
      </c>
      <c r="L5" s="2" t="s">
        <v>37</v>
      </c>
      <c r="M5" s="2" t="str">
        <f t="shared" si="4"/>
        <v>日</v>
      </c>
      <c r="N5" s="2" t="str">
        <f t="shared" si="0"/>
        <v>&lt;tr class='weekend'&gt;&lt;td&gt;4日(日)&lt;/td&gt;&lt;td&gt; 柘榴</v>
      </c>
      <c r="O5" t="str">
        <f t="shared" si="1"/>
        <v>&lt;tr class='weekend'&gt;&lt;td&gt;4日(日)&lt;/td&gt;&lt;td&gt; 柘榴&lt;span class='event_font'&gt;&amp;nbsp&amp;nbspセット料金半額DAY!&lt;/span&gt;&lt;/td&gt;&lt;/tr&gt;</v>
      </c>
    </row>
    <row r="6" spans="1:15" ht="18" x14ac:dyDescent="0.2">
      <c r="A6" s="9" t="s">
        <v>79</v>
      </c>
      <c r="B6" s="2">
        <v>2</v>
      </c>
      <c r="C6" s="2">
        <v>1</v>
      </c>
      <c r="D6" s="2" t="s">
        <v>36</v>
      </c>
      <c r="E6" s="2" t="str">
        <f t="shared" si="2"/>
        <v>5日(月曜 カーマ</v>
      </c>
      <c r="F6" s="2">
        <v>5</v>
      </c>
      <c r="G6" s="2">
        <v>1</v>
      </c>
      <c r="H6" s="2" t="s">
        <v>37</v>
      </c>
      <c r="I6" s="2" t="str">
        <f t="shared" si="3"/>
        <v>5日(月)&lt;/td&gt;&lt;td&gt; カーマ</v>
      </c>
      <c r="J6" s="2">
        <v>4</v>
      </c>
      <c r="K6" s="2">
        <v>1</v>
      </c>
      <c r="L6" s="2" t="s">
        <v>37</v>
      </c>
      <c r="M6" s="2" t="str">
        <f t="shared" si="4"/>
        <v>月</v>
      </c>
      <c r="N6" s="2" t="str">
        <f t="shared" si="0"/>
        <v>&lt;tr&gt;&lt;td&gt;5日(月)&lt;/td&gt;&lt;td&gt; カーマ</v>
      </c>
      <c r="O6" t="str">
        <f t="shared" si="1"/>
        <v>&lt;tr&gt;&lt;td&gt;5日(月)&lt;/td&gt;&lt;td&gt; カーマ&lt;/td&gt;&lt;/tr&gt;</v>
      </c>
    </row>
    <row r="7" spans="1:15" ht="18" x14ac:dyDescent="0.2">
      <c r="A7" s="9" t="s">
        <v>80</v>
      </c>
      <c r="B7" s="2">
        <v>2</v>
      </c>
      <c r="C7" s="2">
        <v>1</v>
      </c>
      <c r="D7" s="2" t="s">
        <v>36</v>
      </c>
      <c r="E7" s="2" t="str">
        <f t="shared" si="2"/>
        <v>6日(火曜 柘榴</v>
      </c>
      <c r="F7" s="2">
        <v>5</v>
      </c>
      <c r="G7" s="2">
        <v>1</v>
      </c>
      <c r="H7" s="2" t="s">
        <v>37</v>
      </c>
      <c r="I7" s="2" t="str">
        <f t="shared" si="3"/>
        <v>6日(火)&lt;/td&gt;&lt;td&gt; 柘榴</v>
      </c>
      <c r="J7" s="2">
        <v>4</v>
      </c>
      <c r="K7" s="2">
        <v>1</v>
      </c>
      <c r="L7" s="2" t="s">
        <v>37</v>
      </c>
      <c r="M7" s="2" t="str">
        <f t="shared" si="4"/>
        <v>火</v>
      </c>
      <c r="N7" s="2" t="str">
        <f t="shared" si="0"/>
        <v>&lt;tr&gt;&lt;td&gt;6日(火)&lt;/td&gt;&lt;td&gt; 柘榴</v>
      </c>
      <c r="O7" t="str">
        <f t="shared" si="1"/>
        <v>&lt;tr&gt;&lt;td&gt;6日(火)&lt;/td&gt;&lt;td&gt; 柘榴&lt;/td&gt;&lt;/tr&gt;</v>
      </c>
    </row>
    <row r="8" spans="1:15" ht="18" x14ac:dyDescent="0.2">
      <c r="A8" s="9" t="s">
        <v>81</v>
      </c>
      <c r="B8" s="2">
        <v>2</v>
      </c>
      <c r="C8" s="2">
        <v>1</v>
      </c>
      <c r="D8" s="2" t="s">
        <v>36</v>
      </c>
      <c r="E8" s="2" t="str">
        <f t="shared" si="2"/>
        <v>7日(水曜 未定</v>
      </c>
      <c r="F8" s="2">
        <v>5</v>
      </c>
      <c r="G8" s="2">
        <v>1</v>
      </c>
      <c r="H8" s="2" t="s">
        <v>37</v>
      </c>
      <c r="I8" s="2" t="str">
        <f t="shared" si="3"/>
        <v>7日(水)&lt;/td&gt;&lt;td&gt; 未定</v>
      </c>
      <c r="J8" s="2">
        <v>4</v>
      </c>
      <c r="K8" s="2">
        <v>1</v>
      </c>
      <c r="L8" s="2" t="s">
        <v>37</v>
      </c>
      <c r="M8" s="2" t="str">
        <f t="shared" si="4"/>
        <v>水</v>
      </c>
      <c r="N8" s="2" t="str">
        <f t="shared" si="0"/>
        <v>&lt;tr&gt;&lt;td&gt;7日(水)&lt;/td&gt;&lt;td&gt; 未定</v>
      </c>
      <c r="O8" t="str">
        <f t="shared" si="1"/>
        <v>&lt;tr&gt;&lt;td&gt;7日(水)&lt;/td&gt;&lt;td&gt; 未定&lt;/td&gt;&lt;/tr&gt;</v>
      </c>
    </row>
    <row r="9" spans="1:15" ht="18" x14ac:dyDescent="0.2">
      <c r="A9" s="9" t="s">
        <v>82</v>
      </c>
      <c r="B9" s="2">
        <v>2</v>
      </c>
      <c r="C9" s="2">
        <v>1</v>
      </c>
      <c r="D9" s="2" t="s">
        <v>36</v>
      </c>
      <c r="E9" s="2" t="str">
        <f t="shared" si="2"/>
        <v>8日(木曜 イリヤ</v>
      </c>
      <c r="F9" s="2">
        <v>5</v>
      </c>
      <c r="G9" s="2">
        <v>1</v>
      </c>
      <c r="H9" s="2" t="s">
        <v>37</v>
      </c>
      <c r="I9" s="2" t="str">
        <f t="shared" si="3"/>
        <v>8日(木)&lt;/td&gt;&lt;td&gt; イリヤ</v>
      </c>
      <c r="J9" s="2">
        <v>4</v>
      </c>
      <c r="K9" s="2">
        <v>1</v>
      </c>
      <c r="L9" s="2" t="s">
        <v>37</v>
      </c>
      <c r="M9" s="2" t="str">
        <f t="shared" si="4"/>
        <v>木</v>
      </c>
      <c r="N9" s="2" t="str">
        <f t="shared" si="0"/>
        <v>&lt;tr&gt;&lt;td&gt;8日(木)&lt;/td&gt;&lt;td&gt; イリヤ</v>
      </c>
      <c r="O9" t="str">
        <f t="shared" si="1"/>
        <v>&lt;tr&gt;&lt;td&gt;8日(木)&lt;/td&gt;&lt;td&gt; イリヤ&lt;/td&gt;&lt;/tr&gt;</v>
      </c>
    </row>
    <row r="10" spans="1:15" ht="18" x14ac:dyDescent="0.2">
      <c r="A10" s="9" t="s">
        <v>83</v>
      </c>
      <c r="B10" s="2">
        <v>2</v>
      </c>
      <c r="C10" s="2">
        <v>1</v>
      </c>
      <c r="D10" s="2" t="s">
        <v>36</v>
      </c>
      <c r="E10" s="2" t="str">
        <f t="shared" si="2"/>
        <v>9日(金曜 カーマ</v>
      </c>
      <c r="F10" s="2">
        <v>5</v>
      </c>
      <c r="G10" s="2">
        <v>1</v>
      </c>
      <c r="H10" s="2" t="s">
        <v>37</v>
      </c>
      <c r="I10" s="2" t="str">
        <f t="shared" si="3"/>
        <v>9日(金)&lt;/td&gt;&lt;td&gt; カーマ</v>
      </c>
      <c r="J10" s="2">
        <v>4</v>
      </c>
      <c r="K10" s="2">
        <v>1</v>
      </c>
      <c r="L10" s="2" t="s">
        <v>37</v>
      </c>
      <c r="M10" s="2" t="str">
        <f t="shared" si="4"/>
        <v>金</v>
      </c>
      <c r="N10" s="2" t="str">
        <f t="shared" si="0"/>
        <v>&lt;tr&gt;&lt;td&gt;9日(金)&lt;/td&gt;&lt;td&gt; カーマ</v>
      </c>
      <c r="O10" t="str">
        <f t="shared" si="1"/>
        <v>&lt;tr&gt;&lt;td&gt;9日(金)&lt;/td&gt;&lt;td&gt; カーマ&lt;/td&gt;&lt;/tr&gt;</v>
      </c>
    </row>
    <row r="11" spans="1:15" ht="18" x14ac:dyDescent="0.2">
      <c r="A11" s="9" t="s">
        <v>84</v>
      </c>
      <c r="B11" s="2">
        <v>3</v>
      </c>
      <c r="C11" s="2">
        <v>1</v>
      </c>
      <c r="D11" s="2" t="s">
        <v>36</v>
      </c>
      <c r="E11" s="2" t="str">
        <f>REPLACE(A11,B11,C11,D11)</f>
        <v>10日(土曜 淀川花火の為休業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 淀川花火の為休業</v>
      </c>
      <c r="J11" s="2">
        <v>5</v>
      </c>
      <c r="K11" s="2">
        <v>1</v>
      </c>
      <c r="L11" s="2" t="s">
        <v>37</v>
      </c>
      <c r="M11" s="2" t="str">
        <f t="shared" si="4"/>
        <v>土</v>
      </c>
      <c r="N11" s="2" t="str">
        <f t="shared" si="0"/>
        <v>&lt;tr class='weekend'&gt;&lt;td&gt;10日(土)&lt;/td&gt;&lt;td&gt; 淀川花火の為休業</v>
      </c>
      <c r="O11" t="str">
        <f t="shared" si="1"/>
        <v>&lt;tr class='weekend'&gt;&lt;td&gt;10日(土)&lt;/td&gt;&lt;td&gt; 淀川花火の為休業&lt;/td&gt;&lt;/tr&gt;</v>
      </c>
    </row>
    <row r="12" spans="1:15" ht="18" x14ac:dyDescent="0.2">
      <c r="A12" s="9" t="s">
        <v>85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11日(日曜 カーマ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11日(日)&lt;/td&gt;&lt;td&gt; カーマ</v>
      </c>
      <c r="J12" s="2">
        <v>5</v>
      </c>
      <c r="K12" s="2">
        <v>1</v>
      </c>
      <c r="L12" s="2" t="s">
        <v>37</v>
      </c>
      <c r="M12" s="2" t="str">
        <f t="shared" si="4"/>
        <v>日</v>
      </c>
      <c r="N12" s="2" t="str">
        <f>IF(OR(M12="土", M12="日"), "&lt;tr class='weekend'&gt;&lt;td&gt;"&amp;I12, "&lt;tr&gt;&lt;td&gt;"&amp;I12)</f>
        <v>&lt;tr class='weekend'&gt;&lt;td&gt;11日(日)&lt;/td&gt;&lt;td&gt; カーマ</v>
      </c>
      <c r="O12" t="str">
        <f>IF(M12="日", N12&amp;"&lt;span class='event_font'&gt;&amp;nbsp&amp;nbspセット料金半額DAY!&lt;/span&gt;&lt;/td&gt;&lt;/tr&gt;",N12&amp;"&lt;/td&gt;&lt;/tr&gt;")</f>
        <v>&lt;tr class='weekend'&gt;&lt;td&gt;11日(日)&lt;/td&gt;&lt;td&gt; カーマ&lt;span class='event_font'&gt;&amp;nbsp&amp;nbspセット料金半額DAY!&lt;/span&gt;&lt;/td&gt;&lt;/tr&gt;</v>
      </c>
    </row>
    <row r="13" spans="1:15" ht="18" x14ac:dyDescent="0.2">
      <c r="A13" s="9" t="s">
        <v>86</v>
      </c>
      <c r="B13" s="2">
        <v>3</v>
      </c>
      <c r="C13" s="2">
        <v>1</v>
      </c>
      <c r="D13" s="2" t="s">
        <v>36</v>
      </c>
      <c r="E13" s="2" t="str">
        <f t="shared" si="5"/>
        <v>12日(月曜 カナ</v>
      </c>
      <c r="F13" s="2">
        <v>6</v>
      </c>
      <c r="G13" s="2">
        <v>1</v>
      </c>
      <c r="H13" s="2" t="s">
        <v>37</v>
      </c>
      <c r="I13" s="2" t="str">
        <f t="shared" si="6"/>
        <v>12日(月)&lt;/td&gt;&lt;td&gt; カナ</v>
      </c>
      <c r="J13" s="2">
        <v>5</v>
      </c>
      <c r="K13" s="2">
        <v>1</v>
      </c>
      <c r="L13" s="2" t="s">
        <v>37</v>
      </c>
      <c r="M13" s="2" t="str">
        <f t="shared" si="4"/>
        <v>月</v>
      </c>
      <c r="N13" s="2" t="str">
        <f t="shared" ref="N13:N31" si="7">IF(OR(M13="土", M13="日"), "&lt;tr class='weekend'&gt;&lt;td&gt;"&amp;I13, "&lt;tr&gt;&lt;td&gt;"&amp;I13)</f>
        <v>&lt;tr&gt;&lt;td&gt;12日(月)&lt;/td&gt;&lt;td&gt; カナ</v>
      </c>
      <c r="O13" t="str">
        <f t="shared" ref="O13:O32" si="8">IF(M13="日", N13&amp;"&lt;span class='event_font'&gt;&amp;nbsp&amp;nbspセット料金半額DAY!&lt;/span&gt;&lt;/td&gt;&lt;/tr&gt;",N13&amp;"&lt;/td&gt;&lt;/tr&gt;")</f>
        <v>&lt;tr&gt;&lt;td&gt;12日(月)&lt;/td&gt;&lt;td&gt; カナ&lt;/td&gt;&lt;/tr&gt;</v>
      </c>
    </row>
    <row r="14" spans="1:15" ht="18" x14ac:dyDescent="0.2">
      <c r="A14" s="9" t="s">
        <v>87</v>
      </c>
      <c r="B14" s="2">
        <v>3</v>
      </c>
      <c r="C14" s="2">
        <v>1</v>
      </c>
      <c r="D14" s="2" t="s">
        <v>36</v>
      </c>
      <c r="E14" s="2" t="str">
        <f t="shared" si="5"/>
        <v>13日(火曜 イリヤ</v>
      </c>
      <c r="F14" s="2">
        <v>6</v>
      </c>
      <c r="G14" s="2">
        <v>1</v>
      </c>
      <c r="H14" s="2" t="s">
        <v>37</v>
      </c>
      <c r="I14" s="2" t="str">
        <f t="shared" si="6"/>
        <v>13日(火)&lt;/td&gt;&lt;td&gt; イリヤ</v>
      </c>
      <c r="J14" s="2">
        <v>5</v>
      </c>
      <c r="K14" s="2">
        <v>1</v>
      </c>
      <c r="L14" s="2" t="s">
        <v>37</v>
      </c>
      <c r="M14" s="2" t="str">
        <f t="shared" si="4"/>
        <v>火</v>
      </c>
      <c r="N14" s="2" t="str">
        <f t="shared" si="7"/>
        <v>&lt;tr&gt;&lt;td&gt;13日(火)&lt;/td&gt;&lt;td&gt; イリヤ</v>
      </c>
      <c r="O14" t="str">
        <f t="shared" si="8"/>
        <v>&lt;tr&gt;&lt;td&gt;13日(火)&lt;/td&gt;&lt;td&gt; イリヤ&lt;/td&gt;&lt;/tr&gt;</v>
      </c>
    </row>
    <row r="15" spans="1:15" ht="18" x14ac:dyDescent="0.2">
      <c r="A15" s="9" t="s">
        <v>88</v>
      </c>
      <c r="B15" s="2">
        <v>3</v>
      </c>
      <c r="C15" s="2">
        <v>1</v>
      </c>
      <c r="D15" s="2" t="s">
        <v>36</v>
      </c>
      <c r="E15" s="2" t="str">
        <f t="shared" si="5"/>
        <v>14日(水曜  柘榴</v>
      </c>
      <c r="F15" s="2">
        <v>6</v>
      </c>
      <c r="G15" s="2">
        <v>1</v>
      </c>
      <c r="H15" s="2" t="s">
        <v>37</v>
      </c>
      <c r="I15" s="2" t="str">
        <f t="shared" si="6"/>
        <v>14日(水)&lt;/td&gt;&lt;td&gt;  柘榴</v>
      </c>
      <c r="J15" s="2">
        <v>5</v>
      </c>
      <c r="K15" s="2">
        <v>1</v>
      </c>
      <c r="L15" s="2" t="s">
        <v>37</v>
      </c>
      <c r="M15" s="2" t="str">
        <f t="shared" si="4"/>
        <v>水</v>
      </c>
      <c r="N15" s="2" t="str">
        <f t="shared" si="7"/>
        <v>&lt;tr&gt;&lt;td&gt;14日(水)&lt;/td&gt;&lt;td&gt;  柘榴</v>
      </c>
      <c r="O15" t="str">
        <f t="shared" si="8"/>
        <v>&lt;tr&gt;&lt;td&gt;14日(水)&lt;/td&gt;&lt;td&gt;  柘榴&lt;/td&gt;&lt;/tr&gt;</v>
      </c>
    </row>
    <row r="16" spans="1:15" ht="18" x14ac:dyDescent="0.2">
      <c r="A16" s="9" t="s">
        <v>89</v>
      </c>
      <c r="B16" s="2">
        <v>3</v>
      </c>
      <c r="C16" s="2">
        <v>1</v>
      </c>
      <c r="D16" s="2" t="s">
        <v>36</v>
      </c>
      <c r="E16" s="2" t="str">
        <f t="shared" si="5"/>
        <v>15日(木曜 カナ</v>
      </c>
      <c r="F16" s="2">
        <v>6</v>
      </c>
      <c r="G16" s="2">
        <v>1</v>
      </c>
      <c r="H16" s="2" t="s">
        <v>37</v>
      </c>
      <c r="I16" s="2" t="str">
        <f t="shared" si="6"/>
        <v>15日(木)&lt;/td&gt;&lt;td&gt; カナ</v>
      </c>
      <c r="J16" s="2">
        <v>5</v>
      </c>
      <c r="K16" s="2">
        <v>1</v>
      </c>
      <c r="L16" s="2" t="s">
        <v>37</v>
      </c>
      <c r="M16" s="2" t="str">
        <f t="shared" si="4"/>
        <v>木</v>
      </c>
      <c r="N16" s="2" t="str">
        <f t="shared" si="7"/>
        <v>&lt;tr&gt;&lt;td&gt;15日(木)&lt;/td&gt;&lt;td&gt; カナ</v>
      </c>
      <c r="O16" t="str">
        <f t="shared" si="8"/>
        <v>&lt;tr&gt;&lt;td&gt;15日(木)&lt;/td&gt;&lt;td&gt; カナ&lt;/td&gt;&lt;/tr&gt;</v>
      </c>
    </row>
    <row r="17" spans="1:15" ht="18" x14ac:dyDescent="0.2">
      <c r="A17" s="9" t="s">
        <v>90</v>
      </c>
      <c r="B17" s="2">
        <v>3</v>
      </c>
      <c r="C17" s="2">
        <v>1</v>
      </c>
      <c r="D17" s="2" t="s">
        <v>36</v>
      </c>
      <c r="E17" s="2" t="str">
        <f t="shared" si="5"/>
        <v>16日(金曜 ことみ</v>
      </c>
      <c r="F17" s="2">
        <v>6</v>
      </c>
      <c r="G17" s="2">
        <v>1</v>
      </c>
      <c r="H17" s="2" t="s">
        <v>37</v>
      </c>
      <c r="I17" s="2" t="str">
        <f t="shared" si="6"/>
        <v>16日(金)&lt;/td&gt;&lt;td&gt; ことみ</v>
      </c>
      <c r="J17" s="2">
        <v>5</v>
      </c>
      <c r="K17" s="2">
        <v>1</v>
      </c>
      <c r="L17" s="2" t="s">
        <v>37</v>
      </c>
      <c r="M17" s="2" t="str">
        <f t="shared" si="4"/>
        <v>金</v>
      </c>
      <c r="N17" s="2" t="str">
        <f t="shared" si="7"/>
        <v>&lt;tr&gt;&lt;td&gt;16日(金)&lt;/td&gt;&lt;td&gt; ことみ</v>
      </c>
      <c r="O17" t="str">
        <f t="shared" si="8"/>
        <v>&lt;tr&gt;&lt;td&gt;16日(金)&lt;/td&gt;&lt;td&gt; ことみ&lt;/td&gt;&lt;/tr&gt;</v>
      </c>
    </row>
    <row r="18" spans="1:15" ht="18" x14ac:dyDescent="0.2">
      <c r="A18" s="9" t="s">
        <v>91</v>
      </c>
      <c r="B18" s="2">
        <v>3</v>
      </c>
      <c r="C18" s="2">
        <v>1</v>
      </c>
      <c r="D18" s="2" t="s">
        <v>36</v>
      </c>
      <c r="E18" s="2" t="str">
        <f t="shared" si="5"/>
        <v>17日(土曜 美咲、柘榴</v>
      </c>
      <c r="F18" s="2">
        <v>6</v>
      </c>
      <c r="G18" s="2">
        <v>1</v>
      </c>
      <c r="H18" s="2" t="s">
        <v>37</v>
      </c>
      <c r="I18" s="2" t="str">
        <f t="shared" si="6"/>
        <v>17日(土)&lt;/td&gt;&lt;td&gt; 美咲、柘榴</v>
      </c>
      <c r="J18" s="2">
        <v>5</v>
      </c>
      <c r="K18" s="2">
        <v>1</v>
      </c>
      <c r="L18" s="2" t="s">
        <v>37</v>
      </c>
      <c r="M18" s="2" t="str">
        <f t="shared" si="4"/>
        <v>土</v>
      </c>
      <c r="N18" s="2" t="str">
        <f t="shared" si="7"/>
        <v>&lt;tr class='weekend'&gt;&lt;td&gt;17日(土)&lt;/td&gt;&lt;td&gt; 美咲、柘榴</v>
      </c>
      <c r="O18" t="str">
        <f t="shared" si="8"/>
        <v>&lt;tr class='weekend'&gt;&lt;td&gt;17日(土)&lt;/td&gt;&lt;td&gt; 美咲、柘榴&lt;/td&gt;&lt;/tr&gt;</v>
      </c>
    </row>
    <row r="19" spans="1:15" ht="18" x14ac:dyDescent="0.2">
      <c r="A19" s="9" t="s">
        <v>92</v>
      </c>
      <c r="B19" s="2">
        <v>3</v>
      </c>
      <c r="C19" s="2">
        <v>1</v>
      </c>
      <c r="D19" s="2" t="s">
        <v>36</v>
      </c>
      <c r="E19" s="2" t="str">
        <f t="shared" si="5"/>
        <v>18日(日曜 柘榴</v>
      </c>
      <c r="F19" s="2">
        <v>6</v>
      </c>
      <c r="G19" s="2">
        <v>1</v>
      </c>
      <c r="H19" s="2" t="s">
        <v>37</v>
      </c>
      <c r="I19" s="2" t="str">
        <f t="shared" si="6"/>
        <v>18日(日)&lt;/td&gt;&lt;td&gt; 柘榴</v>
      </c>
      <c r="J19" s="2">
        <v>5</v>
      </c>
      <c r="K19" s="2">
        <v>1</v>
      </c>
      <c r="L19" s="2" t="s">
        <v>37</v>
      </c>
      <c r="M19" s="2" t="str">
        <f t="shared" si="4"/>
        <v>日</v>
      </c>
      <c r="N19" s="2" t="str">
        <f t="shared" si="7"/>
        <v>&lt;tr class='weekend'&gt;&lt;td&gt;18日(日)&lt;/td&gt;&lt;td&gt; 柘榴</v>
      </c>
      <c r="O19" t="str">
        <f t="shared" si="8"/>
        <v>&lt;tr class='weekend'&gt;&lt;td&gt;18日(日)&lt;/td&gt;&lt;td&gt; 柘榴&lt;span class='event_font'&gt;&amp;nbsp&amp;nbspセット料金半額DAY!&lt;/span&gt;&lt;/td&gt;&lt;/tr&gt;</v>
      </c>
    </row>
    <row r="20" spans="1:15" ht="18" x14ac:dyDescent="0.2">
      <c r="A20" s="9" t="s">
        <v>93</v>
      </c>
      <c r="B20" s="2">
        <v>3</v>
      </c>
      <c r="C20" s="2">
        <v>1</v>
      </c>
      <c r="D20" s="2" t="s">
        <v>36</v>
      </c>
      <c r="E20" s="2" t="str">
        <f t="shared" si="5"/>
        <v>19日(月曜 カーマ</v>
      </c>
      <c r="F20" s="2">
        <v>6</v>
      </c>
      <c r="G20" s="2">
        <v>1</v>
      </c>
      <c r="H20" s="2" t="s">
        <v>37</v>
      </c>
      <c r="I20" s="2" t="str">
        <f t="shared" si="6"/>
        <v>19日(月)&lt;/td&gt;&lt;td&gt; カーマ</v>
      </c>
      <c r="J20" s="2">
        <v>5</v>
      </c>
      <c r="K20" s="2">
        <v>1</v>
      </c>
      <c r="L20" s="2" t="s">
        <v>37</v>
      </c>
      <c r="M20" s="2" t="str">
        <f t="shared" si="4"/>
        <v>月</v>
      </c>
      <c r="N20" s="2" t="str">
        <f t="shared" si="7"/>
        <v>&lt;tr&gt;&lt;td&gt;19日(月)&lt;/td&gt;&lt;td&gt; カーマ</v>
      </c>
      <c r="O20" t="str">
        <f t="shared" si="8"/>
        <v>&lt;tr&gt;&lt;td&gt;19日(月)&lt;/td&gt;&lt;td&gt; カーマ&lt;/td&gt;&lt;/tr&gt;</v>
      </c>
    </row>
    <row r="21" spans="1:15" ht="18" x14ac:dyDescent="0.2">
      <c r="A21" s="9" t="s">
        <v>94</v>
      </c>
      <c r="B21" s="2">
        <v>3</v>
      </c>
      <c r="C21" s="2">
        <v>1</v>
      </c>
      <c r="D21" s="2" t="s">
        <v>36</v>
      </c>
      <c r="E21" s="2" t="str">
        <f t="shared" si="5"/>
        <v>20日(火曜 カーマ</v>
      </c>
      <c r="F21" s="2">
        <v>6</v>
      </c>
      <c r="G21" s="2">
        <v>1</v>
      </c>
      <c r="H21" s="2" t="s">
        <v>37</v>
      </c>
      <c r="I21" s="2" t="str">
        <f t="shared" si="6"/>
        <v>20日(火)&lt;/td&gt;&lt;td&gt; カーマ</v>
      </c>
      <c r="J21" s="2">
        <v>5</v>
      </c>
      <c r="K21" s="2">
        <v>1</v>
      </c>
      <c r="L21" s="2" t="s">
        <v>37</v>
      </c>
      <c r="M21" s="2" t="str">
        <f t="shared" si="4"/>
        <v>火</v>
      </c>
      <c r="N21" s="2" t="str">
        <f t="shared" si="7"/>
        <v>&lt;tr&gt;&lt;td&gt;20日(火)&lt;/td&gt;&lt;td&gt; カーマ</v>
      </c>
      <c r="O21" t="str">
        <f t="shared" si="8"/>
        <v>&lt;tr&gt;&lt;td&gt;20日(火)&lt;/td&gt;&lt;td&gt; カーマ&lt;/td&gt;&lt;/tr&gt;</v>
      </c>
    </row>
    <row r="22" spans="1:15" ht="18" x14ac:dyDescent="0.2">
      <c r="A22" s="8" t="s">
        <v>95</v>
      </c>
      <c r="B22" s="2">
        <v>3</v>
      </c>
      <c r="C22" s="2">
        <v>1</v>
      </c>
      <c r="D22" s="2" t="s">
        <v>36</v>
      </c>
      <c r="E22" s="2" t="str">
        <f t="shared" si="5"/>
        <v>21日(水曜 柘榴</v>
      </c>
      <c r="F22" s="2">
        <v>6</v>
      </c>
      <c r="G22" s="2">
        <v>1</v>
      </c>
      <c r="H22" s="2" t="s">
        <v>37</v>
      </c>
      <c r="I22" s="2" t="str">
        <f t="shared" si="6"/>
        <v>21日(水)&lt;/td&gt;&lt;td&gt; 柘榴</v>
      </c>
      <c r="J22" s="2">
        <v>5</v>
      </c>
      <c r="K22" s="2">
        <v>1</v>
      </c>
      <c r="L22" s="2" t="s">
        <v>37</v>
      </c>
      <c r="M22" s="2" t="str">
        <f t="shared" si="4"/>
        <v>水</v>
      </c>
      <c r="N22" s="2" t="str">
        <f t="shared" si="7"/>
        <v>&lt;tr&gt;&lt;td&gt;21日(水)&lt;/td&gt;&lt;td&gt; 柘榴</v>
      </c>
      <c r="O22" t="str">
        <f t="shared" si="8"/>
        <v>&lt;tr&gt;&lt;td&gt;21日(水)&lt;/td&gt;&lt;td&gt; 柘榴&lt;/td&gt;&lt;/tr&gt;</v>
      </c>
    </row>
    <row r="23" spans="1:15" ht="18" x14ac:dyDescent="0.2">
      <c r="A23" s="8" t="s">
        <v>96</v>
      </c>
      <c r="B23" s="2">
        <v>3</v>
      </c>
      <c r="C23" s="2">
        <v>1</v>
      </c>
      <c r="D23" s="2" t="s">
        <v>36</v>
      </c>
      <c r="E23" s="2" t="str">
        <f t="shared" si="5"/>
        <v>22日(木曜 カーマ</v>
      </c>
      <c r="F23" s="2">
        <v>6</v>
      </c>
      <c r="G23" s="2">
        <v>1</v>
      </c>
      <c r="H23" s="2" t="s">
        <v>37</v>
      </c>
      <c r="I23" s="2" t="str">
        <f t="shared" si="6"/>
        <v>22日(木)&lt;/td&gt;&lt;td&gt; カーマ</v>
      </c>
      <c r="J23" s="2">
        <v>5</v>
      </c>
      <c r="K23" s="2">
        <v>1</v>
      </c>
      <c r="L23" s="2" t="s">
        <v>37</v>
      </c>
      <c r="M23" s="2" t="str">
        <f t="shared" si="4"/>
        <v>木</v>
      </c>
      <c r="N23" s="2" t="str">
        <f t="shared" si="7"/>
        <v>&lt;tr&gt;&lt;td&gt;22日(木)&lt;/td&gt;&lt;td&gt; カーマ</v>
      </c>
      <c r="O23" t="str">
        <f t="shared" si="8"/>
        <v>&lt;tr&gt;&lt;td&gt;22日(木)&lt;/td&gt;&lt;td&gt; カーマ&lt;/td&gt;&lt;/tr&gt;</v>
      </c>
    </row>
    <row r="24" spans="1:15" ht="18" x14ac:dyDescent="0.2">
      <c r="A24" s="8" t="s">
        <v>97</v>
      </c>
      <c r="B24" s="2">
        <v>3</v>
      </c>
      <c r="C24" s="2">
        <v>1</v>
      </c>
      <c r="D24" s="2" t="s">
        <v>36</v>
      </c>
      <c r="E24" s="2" t="str">
        <f t="shared" si="5"/>
        <v>23日(金曜 ことみ</v>
      </c>
      <c r="F24" s="2">
        <v>6</v>
      </c>
      <c r="G24" s="2">
        <v>1</v>
      </c>
      <c r="H24" s="2" t="s">
        <v>37</v>
      </c>
      <c r="I24" s="2" t="str">
        <f t="shared" si="6"/>
        <v>23日(金)&lt;/td&gt;&lt;td&gt; ことみ</v>
      </c>
      <c r="J24" s="2">
        <v>5</v>
      </c>
      <c r="K24" s="2">
        <v>1</v>
      </c>
      <c r="L24" s="2" t="s">
        <v>37</v>
      </c>
      <c r="M24" s="2" t="str">
        <f t="shared" si="4"/>
        <v>金</v>
      </c>
      <c r="N24" s="2" t="str">
        <f t="shared" si="7"/>
        <v>&lt;tr&gt;&lt;td&gt;23日(金)&lt;/td&gt;&lt;td&gt; ことみ</v>
      </c>
      <c r="O24" t="str">
        <f t="shared" si="8"/>
        <v>&lt;tr&gt;&lt;td&gt;23日(金)&lt;/td&gt;&lt;td&gt; ことみ&lt;/td&gt;&lt;/tr&gt;</v>
      </c>
    </row>
    <row r="25" spans="1:15" ht="18" x14ac:dyDescent="0.2">
      <c r="A25" s="8" t="s">
        <v>98</v>
      </c>
      <c r="B25" s="2">
        <v>3</v>
      </c>
      <c r="C25" s="2">
        <v>1</v>
      </c>
      <c r="D25" s="2" t="s">
        <v>36</v>
      </c>
      <c r="E25" s="2" t="str">
        <f t="shared" si="5"/>
        <v>24日(土曜 イリヤ、新人ミカ</v>
      </c>
      <c r="F25" s="2">
        <v>6</v>
      </c>
      <c r="G25" s="2">
        <v>1</v>
      </c>
      <c r="H25" s="2" t="s">
        <v>37</v>
      </c>
      <c r="I25" s="2" t="str">
        <f t="shared" si="6"/>
        <v>24日(土)&lt;/td&gt;&lt;td&gt; イリヤ、新人ミカ</v>
      </c>
      <c r="J25" s="2">
        <v>5</v>
      </c>
      <c r="K25" s="2">
        <v>1</v>
      </c>
      <c r="L25" s="2" t="s">
        <v>37</v>
      </c>
      <c r="M25" s="2" t="str">
        <f t="shared" si="4"/>
        <v>土</v>
      </c>
      <c r="N25" s="2" t="str">
        <f t="shared" si="7"/>
        <v>&lt;tr class='weekend'&gt;&lt;td&gt;24日(土)&lt;/td&gt;&lt;td&gt; イリヤ、新人ミカ</v>
      </c>
      <c r="O25" t="str">
        <f t="shared" si="8"/>
        <v>&lt;tr class='weekend'&gt;&lt;td&gt;24日(土)&lt;/td&gt;&lt;td&gt; イリヤ、新人ミカ&lt;/td&gt;&lt;/tr&gt;</v>
      </c>
    </row>
    <row r="26" spans="1:15" ht="18" x14ac:dyDescent="0.2">
      <c r="A26" s="8" t="s">
        <v>99</v>
      </c>
      <c r="B26" s="2">
        <v>3</v>
      </c>
      <c r="C26" s="2">
        <v>1</v>
      </c>
      <c r="D26" s="2" t="s">
        <v>36</v>
      </c>
      <c r="E26" s="2" t="str">
        <f t="shared" si="5"/>
        <v>25日(日曜 柘榴</v>
      </c>
      <c r="F26" s="2">
        <v>6</v>
      </c>
      <c r="G26" s="2">
        <v>1</v>
      </c>
      <c r="H26" s="2" t="s">
        <v>37</v>
      </c>
      <c r="I26" s="2" t="str">
        <f t="shared" si="6"/>
        <v>25日(日)&lt;/td&gt;&lt;td&gt; 柘榴</v>
      </c>
      <c r="J26" s="2">
        <v>5</v>
      </c>
      <c r="K26" s="2">
        <v>1</v>
      </c>
      <c r="L26" s="2" t="s">
        <v>37</v>
      </c>
      <c r="M26" s="2" t="str">
        <f t="shared" si="4"/>
        <v>日</v>
      </c>
      <c r="N26" s="2" t="str">
        <f t="shared" si="7"/>
        <v>&lt;tr class='weekend'&gt;&lt;td&gt;25日(日)&lt;/td&gt;&lt;td&gt; 柘榴</v>
      </c>
      <c r="O26" t="str">
        <f t="shared" si="8"/>
        <v>&lt;tr class='weekend'&gt;&lt;td&gt;25日(日)&lt;/td&gt;&lt;td&gt; 柘榴&lt;span class='event_font'&gt;&amp;nbsp&amp;nbspセット料金半額DAY!&lt;/span&gt;&lt;/td&gt;&lt;/tr&gt;</v>
      </c>
    </row>
    <row r="27" spans="1:15" ht="18" x14ac:dyDescent="0.2">
      <c r="A27" s="8" t="s">
        <v>100</v>
      </c>
      <c r="B27" s="2">
        <v>3</v>
      </c>
      <c r="C27" s="2">
        <v>1</v>
      </c>
      <c r="D27" s="2" t="s">
        <v>36</v>
      </c>
      <c r="E27" s="2" t="str">
        <f t="shared" si="5"/>
        <v>26日(月曜 未定</v>
      </c>
      <c r="F27" s="2">
        <v>6</v>
      </c>
      <c r="G27" s="2">
        <v>1</v>
      </c>
      <c r="H27" s="2" t="s">
        <v>37</v>
      </c>
      <c r="I27" s="2" t="str">
        <f t="shared" si="6"/>
        <v>26日(月)&lt;/td&gt;&lt;td&gt; 未定</v>
      </c>
      <c r="J27" s="2">
        <v>5</v>
      </c>
      <c r="K27" s="2">
        <v>1</v>
      </c>
      <c r="L27" s="2" t="s">
        <v>37</v>
      </c>
      <c r="M27" s="2" t="str">
        <f t="shared" si="4"/>
        <v>月</v>
      </c>
      <c r="N27" s="2" t="str">
        <f t="shared" si="7"/>
        <v>&lt;tr&gt;&lt;td&gt;26日(月)&lt;/td&gt;&lt;td&gt; 未定</v>
      </c>
      <c r="O27" t="str">
        <f t="shared" si="8"/>
        <v>&lt;tr&gt;&lt;td&gt;26日(月)&lt;/td&gt;&lt;td&gt; 未定&lt;/td&gt;&lt;/tr&gt;</v>
      </c>
    </row>
    <row r="28" spans="1:15" ht="18" x14ac:dyDescent="0.2">
      <c r="A28" s="8" t="s">
        <v>101</v>
      </c>
      <c r="B28" s="2">
        <v>3</v>
      </c>
      <c r="C28" s="2">
        <v>1</v>
      </c>
      <c r="D28" s="2" t="s">
        <v>36</v>
      </c>
      <c r="E28" s="2" t="str">
        <f t="shared" si="5"/>
        <v>27日(火曜 カーマ</v>
      </c>
      <c r="F28" s="2">
        <v>6</v>
      </c>
      <c r="G28" s="2">
        <v>1</v>
      </c>
      <c r="H28" s="2" t="s">
        <v>37</v>
      </c>
      <c r="I28" s="2" t="str">
        <f t="shared" si="6"/>
        <v>27日(火)&lt;/td&gt;&lt;td&gt; カーマ</v>
      </c>
      <c r="J28" s="2">
        <v>5</v>
      </c>
      <c r="K28" s="2">
        <v>1</v>
      </c>
      <c r="L28" s="2" t="s">
        <v>37</v>
      </c>
      <c r="M28" s="2" t="str">
        <f t="shared" si="4"/>
        <v>火</v>
      </c>
      <c r="N28" s="2" t="str">
        <f t="shared" si="7"/>
        <v>&lt;tr&gt;&lt;td&gt;27日(火)&lt;/td&gt;&lt;td&gt; カーマ</v>
      </c>
      <c r="O28" t="str">
        <f t="shared" si="8"/>
        <v>&lt;tr&gt;&lt;td&gt;27日(火)&lt;/td&gt;&lt;td&gt; カーマ&lt;/td&gt;&lt;/tr&gt;</v>
      </c>
    </row>
    <row r="29" spans="1:15" ht="18" x14ac:dyDescent="0.2">
      <c r="A29" s="8" t="s">
        <v>102</v>
      </c>
      <c r="B29" s="2">
        <v>3</v>
      </c>
      <c r="C29" s="2">
        <v>1</v>
      </c>
      <c r="D29" s="2" t="s">
        <v>36</v>
      </c>
      <c r="E29" s="2" t="str">
        <f t="shared" si="5"/>
        <v>28日(水曜 柘榴</v>
      </c>
      <c r="F29" s="2">
        <v>6</v>
      </c>
      <c r="G29" s="2">
        <v>1</v>
      </c>
      <c r="H29" s="2" t="s">
        <v>37</v>
      </c>
      <c r="I29" s="2" t="str">
        <f t="shared" si="6"/>
        <v>28日(水)&lt;/td&gt;&lt;td&gt; 柘榴</v>
      </c>
      <c r="J29" s="2">
        <v>5</v>
      </c>
      <c r="K29" s="2">
        <v>1</v>
      </c>
      <c r="L29" s="2" t="s">
        <v>37</v>
      </c>
      <c r="M29" s="2" t="str">
        <f t="shared" si="4"/>
        <v>水</v>
      </c>
      <c r="N29" s="2" t="str">
        <f t="shared" si="7"/>
        <v>&lt;tr&gt;&lt;td&gt;28日(水)&lt;/td&gt;&lt;td&gt; 柘榴</v>
      </c>
      <c r="O29" t="str">
        <f t="shared" si="8"/>
        <v>&lt;tr&gt;&lt;td&gt;28日(水)&lt;/td&gt;&lt;td&gt; 柘榴&lt;/td&gt;&lt;/tr&gt;</v>
      </c>
    </row>
    <row r="30" spans="1:15" ht="18" x14ac:dyDescent="0.2">
      <c r="A30" s="8" t="s">
        <v>103</v>
      </c>
      <c r="B30" s="2">
        <v>3</v>
      </c>
      <c r="C30" s="2">
        <v>1</v>
      </c>
      <c r="D30" s="2" t="s">
        <v>36</v>
      </c>
      <c r="E30" s="2" t="str">
        <f t="shared" si="5"/>
        <v>29日(木曜 カーマ</v>
      </c>
      <c r="F30" s="2">
        <v>6</v>
      </c>
      <c r="G30" s="2">
        <v>1</v>
      </c>
      <c r="H30" s="2" t="s">
        <v>37</v>
      </c>
      <c r="I30" s="2" t="str">
        <f t="shared" si="6"/>
        <v>29日(木)&lt;/td&gt;&lt;td&gt; カーマ</v>
      </c>
      <c r="J30" s="2">
        <v>5</v>
      </c>
      <c r="K30" s="2">
        <v>1</v>
      </c>
      <c r="L30" s="2" t="s">
        <v>37</v>
      </c>
      <c r="M30" s="2" t="str">
        <f t="shared" si="4"/>
        <v>木</v>
      </c>
      <c r="N30" s="2" t="str">
        <f t="shared" si="7"/>
        <v>&lt;tr&gt;&lt;td&gt;29日(木)&lt;/td&gt;&lt;td&gt; カーマ</v>
      </c>
      <c r="O30" t="str">
        <f t="shared" si="8"/>
        <v>&lt;tr&gt;&lt;td&gt;29日(木)&lt;/td&gt;&lt;td&gt; カーマ&lt;/td&gt;&lt;/tr&gt;</v>
      </c>
    </row>
    <row r="31" spans="1:15" ht="18" x14ac:dyDescent="0.2">
      <c r="A31" s="8" t="s">
        <v>104</v>
      </c>
      <c r="B31" s="2">
        <v>3</v>
      </c>
      <c r="C31" s="2">
        <v>1</v>
      </c>
      <c r="D31" s="2" t="s">
        <v>36</v>
      </c>
      <c r="E31" s="2" t="str">
        <f t="shared" si="5"/>
        <v>30日(金曜 柘榴</v>
      </c>
      <c r="F31" s="2">
        <v>6</v>
      </c>
      <c r="G31" s="2">
        <v>1</v>
      </c>
      <c r="H31" s="2" t="s">
        <v>37</v>
      </c>
      <c r="I31" s="2" t="str">
        <f t="shared" si="6"/>
        <v>30日(金)&lt;/td&gt;&lt;td&gt; 柘榴</v>
      </c>
      <c r="J31" s="2">
        <v>5</v>
      </c>
      <c r="K31" s="2">
        <v>1</v>
      </c>
      <c r="L31" s="2" t="s">
        <v>37</v>
      </c>
      <c r="M31" s="2" t="str">
        <f t="shared" si="4"/>
        <v>金</v>
      </c>
      <c r="N31" s="2" t="str">
        <f t="shared" si="7"/>
        <v>&lt;tr&gt;&lt;td&gt;30日(金)&lt;/td&gt;&lt;td&gt; 柘榴</v>
      </c>
      <c r="O31" t="str">
        <f t="shared" si="8"/>
        <v>&lt;tr&gt;&lt;td&gt;30日(金)&lt;/td&gt;&lt;td&gt; 柘榴&lt;/td&gt;&lt;/tr&gt;</v>
      </c>
    </row>
    <row r="32" spans="1:15" ht="18" x14ac:dyDescent="0.2">
      <c r="A32" s="8" t="s">
        <v>105</v>
      </c>
      <c r="B32" s="2">
        <v>3</v>
      </c>
      <c r="C32" s="2">
        <v>1</v>
      </c>
      <c r="D32" s="2" t="s">
        <v>36</v>
      </c>
      <c r="E32" s="2" t="str">
        <f t="shared" ref="E32" si="9">REPLACE(A32,B32,C32,D32)</f>
        <v>31日(土曜 美咲、カーマ</v>
      </c>
      <c r="F32" s="2">
        <v>6</v>
      </c>
      <c r="G32" s="2">
        <v>1</v>
      </c>
      <c r="H32" s="2" t="s">
        <v>37</v>
      </c>
      <c r="I32" s="2" t="str">
        <f t="shared" ref="I32" si="10">REPLACE(E32,F32,G32,H32)</f>
        <v>31日(土)&lt;/td&gt;&lt;td&gt; 美咲、カーマ</v>
      </c>
      <c r="J32" s="2">
        <v>5</v>
      </c>
      <c r="K32" s="2">
        <v>1</v>
      </c>
      <c r="L32" s="2" t="s">
        <v>37</v>
      </c>
      <c r="M32" s="2" t="str">
        <f t="shared" ref="M32" si="11">MID(I32,J32,K32)</f>
        <v>土</v>
      </c>
      <c r="N32" s="2" t="str">
        <f t="shared" ref="N32" si="12">IF(OR(M32="土", M32="日"), "&lt;tr class='weekend'&gt;&lt;td&gt;"&amp;I32, "&lt;tr&gt;&lt;td&gt;"&amp;I32)</f>
        <v>&lt;tr class='weekend'&gt;&lt;td&gt;31日(土)&lt;/td&gt;&lt;td&gt; 美咲、カーマ</v>
      </c>
      <c r="O32" t="str">
        <f t="shared" si="8"/>
        <v>&lt;tr class='weekend'&gt;&lt;td&gt;31日(土)&lt;/td&gt;&lt;td&gt; 美咲、カーマ&lt;/td&gt;&lt;/tr&gt;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671BF-C419-4229-9D20-498E8E980898}">
  <sheetPr codeName="Sheet3"/>
  <dimension ref="A1:P32"/>
  <sheetViews>
    <sheetView tabSelected="1" topLeftCell="E1" workbookViewId="0">
      <selection activeCell="P2" sqref="P2:P3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4" width="10.6640625" style="2" customWidth="1"/>
    <col min="5" max="5" width="20.2187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3.33203125" style="2" customWidth="1"/>
    <col min="16" max="16" width="112.33203125" bestFit="1" customWidth="1"/>
  </cols>
  <sheetData>
    <row r="1" spans="1:16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106</v>
      </c>
      <c r="O1" s="1" t="s">
        <v>39</v>
      </c>
      <c r="P1" s="4" t="s">
        <v>40</v>
      </c>
    </row>
    <row r="2" spans="1:16" ht="18" x14ac:dyDescent="0.2">
      <c r="A2" s="8" t="s">
        <v>107</v>
      </c>
      <c r="B2" s="2">
        <v>1</v>
      </c>
      <c r="C2" s="2">
        <v>5</v>
      </c>
      <c r="D2" s="2" t="str">
        <f>MID(A2, 5, 1)&amp;"日"</f>
        <v>1日</v>
      </c>
      <c r="E2" s="2" t="str">
        <f>REPLACE(A2,B2,C2,D2)</f>
        <v>1日(日)</v>
      </c>
      <c r="F2" s="2">
        <v>5</v>
      </c>
      <c r="G2" s="2">
        <v>1</v>
      </c>
      <c r="H2" s="2" t="s">
        <v>37</v>
      </c>
      <c r="I2" s="2" t="str">
        <f>REPLACE(E2,F2,G2,H2)</f>
        <v>1日(日)&lt;/td&gt;&lt;td&gt;</v>
      </c>
      <c r="J2" s="2">
        <v>4</v>
      </c>
      <c r="K2" s="2">
        <v>1</v>
      </c>
      <c r="L2" s="2" t="s">
        <v>37</v>
      </c>
      <c r="M2" s="2" t="str">
        <f>MID(I2,J2,K2)</f>
        <v>日</v>
      </c>
      <c r="O2" s="2" t="str">
        <f t="shared" ref="O2:O11" si="0">IF(OR(M2="土", M2="日"), "&lt;tr class='weekend'&gt;&lt;td&gt;"&amp;I2, "&lt;tr&gt;&lt;td&gt;"&amp;I2)</f>
        <v>&lt;tr class='weekend'&gt;&lt;td&gt;1日(日)&lt;/td&gt;&lt;td&gt;</v>
      </c>
      <c r="P2" t="str">
        <f t="shared" ref="P2:P11" si="1">IF(M2="日", O2&amp;"&lt;span class='event_font'&gt;&amp;nbsp&amp;nbspセット料金半額DAY!&lt;/span&gt;&lt;/td&gt;&lt;/tr&gt;",O2&amp;"&lt;/td&gt;&lt;/tr&gt;")</f>
        <v>&lt;tr class='weekend'&gt;&lt;td&gt;1日(日)&lt;/td&gt;&lt;td&gt;&lt;span class='event_font'&gt;&amp;nbsp&amp;nbspセット料金半額DAY!&lt;/span&gt;&lt;/td&gt;&lt;/tr&gt;</v>
      </c>
    </row>
    <row r="3" spans="1:16" ht="18" x14ac:dyDescent="0.2">
      <c r="A3" s="8" t="s">
        <v>108</v>
      </c>
      <c r="B3" s="2">
        <v>1</v>
      </c>
      <c r="C3" s="2">
        <v>5</v>
      </c>
      <c r="D3" s="2" t="str">
        <f t="shared" ref="D3:D10" si="2">MID(A3, 5, 1)&amp;"日"</f>
        <v>2日</v>
      </c>
      <c r="E3" s="2" t="str">
        <f t="shared" ref="E3:E32" si="3">REPLACE(A3,B3,C3,D3)</f>
        <v>2日(月)</v>
      </c>
      <c r="F3" s="2">
        <v>5</v>
      </c>
      <c r="G3" s="2">
        <v>1</v>
      </c>
      <c r="H3" s="2" t="s">
        <v>37</v>
      </c>
      <c r="I3" s="2" t="str">
        <f t="shared" ref="I3:I10" si="4">REPLACE(E3,F3,G3,H3)</f>
        <v>2日(月)&lt;/td&gt;&lt;td&gt;</v>
      </c>
      <c r="J3" s="2">
        <v>4</v>
      </c>
      <c r="K3" s="2">
        <v>1</v>
      </c>
      <c r="L3" s="2" t="s">
        <v>37</v>
      </c>
      <c r="M3" s="2" t="str">
        <f t="shared" ref="M3:M32" si="5">MID(I3,J3,K3)</f>
        <v>月</v>
      </c>
      <c r="O3" s="2" t="str">
        <f t="shared" si="0"/>
        <v>&lt;tr&gt;&lt;td&gt;2日(月)&lt;/td&gt;&lt;td&gt;</v>
      </c>
      <c r="P3" t="str">
        <f t="shared" si="1"/>
        <v>&lt;tr&gt;&lt;td&gt;2日(月)&lt;/td&gt;&lt;td&gt;&lt;/td&gt;&lt;/tr&gt;</v>
      </c>
    </row>
    <row r="4" spans="1:16" ht="18" x14ac:dyDescent="0.2">
      <c r="A4" s="8" t="s">
        <v>109</v>
      </c>
      <c r="B4" s="2">
        <v>1</v>
      </c>
      <c r="C4" s="2">
        <v>5</v>
      </c>
      <c r="D4" s="2" t="str">
        <f t="shared" si="2"/>
        <v>3日</v>
      </c>
      <c r="E4" s="2" t="str">
        <f t="shared" si="3"/>
        <v>3日(火)</v>
      </c>
      <c r="F4" s="2">
        <v>5</v>
      </c>
      <c r="G4" s="2">
        <v>1</v>
      </c>
      <c r="H4" s="2" t="s">
        <v>37</v>
      </c>
      <c r="I4" s="2" t="str">
        <f t="shared" si="4"/>
        <v>3日(火)&lt;/td&gt;&lt;td&gt;</v>
      </c>
      <c r="J4" s="2">
        <v>4</v>
      </c>
      <c r="K4" s="2">
        <v>1</v>
      </c>
      <c r="L4" s="2" t="s">
        <v>37</v>
      </c>
      <c r="M4" s="2" t="str">
        <f t="shared" si="5"/>
        <v>火</v>
      </c>
      <c r="O4" s="2" t="str">
        <f t="shared" si="0"/>
        <v>&lt;tr&gt;&lt;td&gt;3日(火)&lt;/td&gt;&lt;td&gt;</v>
      </c>
      <c r="P4" t="str">
        <f t="shared" si="1"/>
        <v>&lt;tr&gt;&lt;td&gt;3日(火)&lt;/td&gt;&lt;td&gt;&lt;/td&gt;&lt;/tr&gt;</v>
      </c>
    </row>
    <row r="5" spans="1:16" ht="18" x14ac:dyDescent="0.2">
      <c r="A5" s="8" t="s">
        <v>110</v>
      </c>
      <c r="B5" s="2">
        <v>1</v>
      </c>
      <c r="C5" s="2">
        <v>5</v>
      </c>
      <c r="D5" s="2" t="str">
        <f t="shared" si="2"/>
        <v>4日</v>
      </c>
      <c r="E5" s="2" t="str">
        <f t="shared" si="3"/>
        <v>4日(水)</v>
      </c>
      <c r="F5" s="2">
        <v>5</v>
      </c>
      <c r="G5" s="2">
        <v>1</v>
      </c>
      <c r="H5" s="2" t="s">
        <v>37</v>
      </c>
      <c r="I5" s="2" t="str">
        <f t="shared" si="4"/>
        <v>4日(水)&lt;/td&gt;&lt;td&gt;</v>
      </c>
      <c r="J5" s="2">
        <v>4</v>
      </c>
      <c r="K5" s="2">
        <v>1</v>
      </c>
      <c r="L5" s="2" t="s">
        <v>37</v>
      </c>
      <c r="M5" s="2" t="str">
        <f t="shared" si="5"/>
        <v>水</v>
      </c>
      <c r="O5" s="2" t="str">
        <f t="shared" si="0"/>
        <v>&lt;tr&gt;&lt;td&gt;4日(水)&lt;/td&gt;&lt;td&gt;</v>
      </c>
      <c r="P5" t="str">
        <f t="shared" si="1"/>
        <v>&lt;tr&gt;&lt;td&gt;4日(水)&lt;/td&gt;&lt;td&gt;&lt;/td&gt;&lt;/tr&gt;</v>
      </c>
    </row>
    <row r="6" spans="1:16" ht="18" x14ac:dyDescent="0.2">
      <c r="A6" s="9" t="s">
        <v>111</v>
      </c>
      <c r="B6" s="2">
        <v>1</v>
      </c>
      <c r="C6" s="2">
        <v>5</v>
      </c>
      <c r="D6" s="2" t="str">
        <f t="shared" si="2"/>
        <v>5日</v>
      </c>
      <c r="E6" s="2" t="str">
        <f t="shared" si="3"/>
        <v>5日(木) 柘榴</v>
      </c>
      <c r="F6" s="2">
        <v>5</v>
      </c>
      <c r="G6" s="2">
        <v>1</v>
      </c>
      <c r="H6" s="2" t="s">
        <v>37</v>
      </c>
      <c r="I6" s="2" t="str">
        <f t="shared" si="4"/>
        <v>5日(木)&lt;/td&gt;&lt;td&gt; 柘榴</v>
      </c>
      <c r="J6" s="2">
        <v>4</v>
      </c>
      <c r="K6" s="2">
        <v>1</v>
      </c>
      <c r="L6" s="2" t="s">
        <v>37</v>
      </c>
      <c r="M6" s="2" t="str">
        <f t="shared" si="5"/>
        <v>木</v>
      </c>
      <c r="O6" s="2" t="str">
        <f t="shared" si="0"/>
        <v>&lt;tr&gt;&lt;td&gt;5日(木)&lt;/td&gt;&lt;td&gt; 柘榴</v>
      </c>
      <c r="P6" t="str">
        <f t="shared" si="1"/>
        <v>&lt;tr&gt;&lt;td&gt;5日(木)&lt;/td&gt;&lt;td&gt; 柘榴&lt;/td&gt;&lt;/tr&gt;</v>
      </c>
    </row>
    <row r="7" spans="1:16" ht="18" x14ac:dyDescent="0.2">
      <c r="A7" s="9" t="s">
        <v>112</v>
      </c>
      <c r="B7" s="2">
        <v>1</v>
      </c>
      <c r="C7" s="2">
        <v>5</v>
      </c>
      <c r="D7" s="2" t="str">
        <f t="shared" si="2"/>
        <v>6日</v>
      </c>
      <c r="E7" s="2" t="str">
        <f t="shared" si="3"/>
        <v>6日(金) ことみ</v>
      </c>
      <c r="F7" s="2">
        <v>5</v>
      </c>
      <c r="G7" s="2">
        <v>1</v>
      </c>
      <c r="H7" s="2" t="s">
        <v>37</v>
      </c>
      <c r="I7" s="2" t="str">
        <f t="shared" si="4"/>
        <v>6日(金)&lt;/td&gt;&lt;td&gt; ことみ</v>
      </c>
      <c r="J7" s="2">
        <v>4</v>
      </c>
      <c r="K7" s="2">
        <v>1</v>
      </c>
      <c r="L7" s="2" t="s">
        <v>37</v>
      </c>
      <c r="M7" s="2" t="str">
        <f t="shared" si="5"/>
        <v>金</v>
      </c>
      <c r="O7" s="2" t="str">
        <f t="shared" si="0"/>
        <v>&lt;tr&gt;&lt;td&gt;6日(金)&lt;/td&gt;&lt;td&gt; ことみ</v>
      </c>
      <c r="P7" t="str">
        <f t="shared" si="1"/>
        <v>&lt;tr&gt;&lt;td&gt;6日(金)&lt;/td&gt;&lt;td&gt; ことみ&lt;/td&gt;&lt;/tr&gt;</v>
      </c>
    </row>
    <row r="8" spans="1:16" ht="18" x14ac:dyDescent="0.2">
      <c r="A8" s="9" t="s">
        <v>113</v>
      </c>
      <c r="B8" s="2">
        <v>1</v>
      </c>
      <c r="C8" s="2">
        <v>5</v>
      </c>
      <c r="D8" s="2" t="str">
        <f t="shared" si="2"/>
        <v>7日</v>
      </c>
      <c r="E8" s="2" t="str">
        <f t="shared" si="3"/>
        <v>7日(土) カナ</v>
      </c>
      <c r="F8" s="2">
        <v>5</v>
      </c>
      <c r="G8" s="2">
        <v>1</v>
      </c>
      <c r="H8" s="2" t="s">
        <v>37</v>
      </c>
      <c r="I8" s="2" t="str">
        <f t="shared" si="4"/>
        <v>7日(土)&lt;/td&gt;&lt;td&gt; カナ</v>
      </c>
      <c r="J8" s="2">
        <v>4</v>
      </c>
      <c r="K8" s="2">
        <v>1</v>
      </c>
      <c r="L8" s="2" t="s">
        <v>37</v>
      </c>
      <c r="M8" s="2" t="str">
        <f t="shared" si="5"/>
        <v>土</v>
      </c>
      <c r="O8" s="2" t="str">
        <f t="shared" si="0"/>
        <v>&lt;tr class='weekend'&gt;&lt;td&gt;7日(土)&lt;/td&gt;&lt;td&gt; カナ</v>
      </c>
      <c r="P8" t="str">
        <f t="shared" si="1"/>
        <v>&lt;tr class='weekend'&gt;&lt;td&gt;7日(土)&lt;/td&gt;&lt;td&gt; カナ&lt;/td&gt;&lt;/tr&gt;</v>
      </c>
    </row>
    <row r="9" spans="1:16" ht="18" x14ac:dyDescent="0.2">
      <c r="A9" s="9" t="s">
        <v>114</v>
      </c>
      <c r="B9" s="2">
        <v>1</v>
      </c>
      <c r="C9" s="2">
        <v>5</v>
      </c>
      <c r="D9" s="2" t="str">
        <f t="shared" si="2"/>
        <v>8日</v>
      </c>
      <c r="E9" s="2" t="str">
        <f t="shared" si="3"/>
        <v>8日(日)</v>
      </c>
      <c r="F9" s="2">
        <v>5</v>
      </c>
      <c r="G9" s="2">
        <v>1</v>
      </c>
      <c r="H9" s="2" t="s">
        <v>37</v>
      </c>
      <c r="I9" s="2" t="str">
        <f t="shared" si="4"/>
        <v>8日(日)&lt;/td&gt;&lt;td&gt;</v>
      </c>
      <c r="J9" s="2">
        <v>4</v>
      </c>
      <c r="K9" s="2">
        <v>1</v>
      </c>
      <c r="L9" s="2" t="s">
        <v>37</v>
      </c>
      <c r="M9" s="2" t="str">
        <f t="shared" si="5"/>
        <v>日</v>
      </c>
      <c r="O9" s="2" t="str">
        <f t="shared" si="0"/>
        <v>&lt;tr class='weekend'&gt;&lt;td&gt;8日(日)&lt;/td&gt;&lt;td&gt;</v>
      </c>
      <c r="P9" t="str">
        <f t="shared" si="1"/>
        <v>&lt;tr class='weekend'&gt;&lt;td&gt;8日(日)&lt;/td&gt;&lt;td&gt;&lt;span class='event_font'&gt;&amp;nbsp&amp;nbspセット料金半額DAY!&lt;/span&gt;&lt;/td&gt;&lt;/tr&gt;</v>
      </c>
    </row>
    <row r="10" spans="1:16" ht="18" x14ac:dyDescent="0.2">
      <c r="A10" s="9" t="s">
        <v>115</v>
      </c>
      <c r="B10" s="2">
        <v>1</v>
      </c>
      <c r="C10" s="2">
        <v>5</v>
      </c>
      <c r="D10" s="2" t="str">
        <f t="shared" si="2"/>
        <v>9日</v>
      </c>
      <c r="E10" s="2" t="str">
        <f t="shared" si="3"/>
        <v>9日(月)</v>
      </c>
      <c r="F10" s="2">
        <v>5</v>
      </c>
      <c r="G10" s="2">
        <v>1</v>
      </c>
      <c r="H10" s="2" t="s">
        <v>37</v>
      </c>
      <c r="I10" s="2" t="str">
        <f t="shared" si="4"/>
        <v>9日(月)&lt;/td&gt;&lt;td&gt;</v>
      </c>
      <c r="J10" s="2">
        <v>4</v>
      </c>
      <c r="K10" s="2">
        <v>1</v>
      </c>
      <c r="L10" s="2" t="s">
        <v>37</v>
      </c>
      <c r="M10" s="2" t="str">
        <f t="shared" si="5"/>
        <v>月</v>
      </c>
      <c r="O10" s="2" t="str">
        <f t="shared" si="0"/>
        <v>&lt;tr&gt;&lt;td&gt;9日(月)&lt;/td&gt;&lt;td&gt;</v>
      </c>
      <c r="P10" t="str">
        <f t="shared" si="1"/>
        <v>&lt;tr&gt;&lt;td&gt;9日(月)&lt;/td&gt;&lt;td&gt;&lt;/td&gt;&lt;/tr&gt;</v>
      </c>
    </row>
    <row r="11" spans="1:16" ht="18" x14ac:dyDescent="0.2">
      <c r="A11" s="9" t="s">
        <v>116</v>
      </c>
      <c r="B11" s="2">
        <v>1</v>
      </c>
      <c r="C11" s="2">
        <v>5</v>
      </c>
      <c r="D11" s="2" t="str">
        <f>MID(A11, 4, 2)&amp;"日"</f>
        <v>10日</v>
      </c>
      <c r="E11" s="2" t="str">
        <f t="shared" si="3"/>
        <v>10日(火)</v>
      </c>
      <c r="F11" s="2">
        <v>6</v>
      </c>
      <c r="G11" s="2">
        <v>1</v>
      </c>
      <c r="H11" s="2" t="s">
        <v>37</v>
      </c>
      <c r="I11" s="2" t="str">
        <f>REPLACE(E11,F11,G11,H11)</f>
        <v>10日(火)&lt;/td&gt;&lt;td&gt;</v>
      </c>
      <c r="J11" s="2">
        <v>5</v>
      </c>
      <c r="K11" s="2">
        <v>1</v>
      </c>
      <c r="L11" s="2" t="s">
        <v>37</v>
      </c>
      <c r="M11" s="2" t="str">
        <f t="shared" si="5"/>
        <v>火</v>
      </c>
      <c r="O11" s="2" t="str">
        <f t="shared" si="0"/>
        <v>&lt;tr&gt;&lt;td&gt;10日(火)&lt;/td&gt;&lt;td&gt;</v>
      </c>
      <c r="P11" t="str">
        <f t="shared" si="1"/>
        <v>&lt;tr&gt;&lt;td&gt;10日(火)&lt;/td&gt;&lt;td&gt;&lt;/td&gt;&lt;/tr&gt;</v>
      </c>
    </row>
    <row r="12" spans="1:16" ht="18" x14ac:dyDescent="0.2">
      <c r="A12" s="9" t="s">
        <v>117</v>
      </c>
      <c r="B12" s="2">
        <v>1</v>
      </c>
      <c r="C12" s="2">
        <v>5</v>
      </c>
      <c r="D12" s="2" t="str">
        <f t="shared" ref="D12:D32" si="6">MID(A12, 4, 2)&amp;"日"</f>
        <v>11日</v>
      </c>
      <c r="E12" s="2" t="str">
        <f t="shared" si="3"/>
        <v>11日(水)</v>
      </c>
      <c r="F12" s="2">
        <v>6</v>
      </c>
      <c r="G12" s="2">
        <v>1</v>
      </c>
      <c r="H12" s="2" t="s">
        <v>37</v>
      </c>
      <c r="I12" s="2" t="str">
        <f t="shared" ref="I12:I32" si="7">REPLACE(E12,F12,G12,H12)</f>
        <v>11日(水)&lt;/td&gt;&lt;td&gt;</v>
      </c>
      <c r="J12" s="2">
        <v>5</v>
      </c>
      <c r="K12" s="2">
        <v>1</v>
      </c>
      <c r="L12" s="2" t="s">
        <v>37</v>
      </c>
      <c r="M12" s="2" t="str">
        <f t="shared" si="5"/>
        <v>水</v>
      </c>
      <c r="O12" s="2" t="str">
        <f>IF(OR(M12="土", M12="日"), "&lt;tr class='weekend'&gt;&lt;td&gt;"&amp;I12, "&lt;tr&gt;&lt;td&gt;"&amp;I12)</f>
        <v>&lt;tr&gt;&lt;td&gt;11日(水)&lt;/td&gt;&lt;td&gt;</v>
      </c>
      <c r="P12" t="str">
        <f>IF(M12="日", O12&amp;"&lt;span class='event_font'&gt;&amp;nbsp&amp;nbspセット料金半額DAY!&lt;/span&gt;&lt;/td&gt;&lt;/tr&gt;",O12&amp;"&lt;/td&gt;&lt;/tr&gt;")</f>
        <v>&lt;tr&gt;&lt;td&gt;11日(水)&lt;/td&gt;&lt;td&gt;&lt;/td&gt;&lt;/tr&gt;</v>
      </c>
    </row>
    <row r="13" spans="1:16" ht="18" x14ac:dyDescent="0.2">
      <c r="A13" s="9" t="s">
        <v>118</v>
      </c>
      <c r="B13" s="2">
        <v>1</v>
      </c>
      <c r="C13" s="2">
        <v>5</v>
      </c>
      <c r="D13" s="2" t="str">
        <f t="shared" si="6"/>
        <v>12日</v>
      </c>
      <c r="E13" s="2" t="str">
        <f t="shared" si="3"/>
        <v>12日(木) 柘榴</v>
      </c>
      <c r="F13" s="2">
        <v>6</v>
      </c>
      <c r="G13" s="2">
        <v>1</v>
      </c>
      <c r="H13" s="2" t="s">
        <v>37</v>
      </c>
      <c r="I13" s="2" t="str">
        <f t="shared" si="7"/>
        <v>12日(木)&lt;/td&gt;&lt;td&gt; 柘榴</v>
      </c>
      <c r="J13" s="2">
        <v>5</v>
      </c>
      <c r="K13" s="2">
        <v>1</v>
      </c>
      <c r="L13" s="2" t="s">
        <v>37</v>
      </c>
      <c r="M13" s="2" t="str">
        <f t="shared" si="5"/>
        <v>木</v>
      </c>
      <c r="O13" s="2" t="str">
        <f t="shared" ref="O13:O32" si="8">IF(OR(M13="土", M13="日"), "&lt;tr class='weekend'&gt;&lt;td&gt;"&amp;I13, "&lt;tr&gt;&lt;td&gt;"&amp;I13)</f>
        <v>&lt;tr&gt;&lt;td&gt;12日(木)&lt;/td&gt;&lt;td&gt; 柘榴</v>
      </c>
      <c r="P13" t="str">
        <f t="shared" ref="P13:P32" si="9">IF(M13="日", O13&amp;"&lt;span class='event_font'&gt;&amp;nbsp&amp;nbspセット料金半額DAY!&lt;/span&gt;&lt;/td&gt;&lt;/tr&gt;",O13&amp;"&lt;/td&gt;&lt;/tr&gt;")</f>
        <v>&lt;tr&gt;&lt;td&gt;12日(木)&lt;/td&gt;&lt;td&gt; 柘榴&lt;/td&gt;&lt;/tr&gt;</v>
      </c>
    </row>
    <row r="14" spans="1:16" ht="18" x14ac:dyDescent="0.2">
      <c r="A14" s="9" t="s">
        <v>119</v>
      </c>
      <c r="B14" s="2">
        <v>1</v>
      </c>
      <c r="C14" s="2">
        <v>5</v>
      </c>
      <c r="D14" s="2" t="str">
        <f t="shared" si="6"/>
        <v>13日</v>
      </c>
      <c r="E14" s="2" t="str">
        <f t="shared" si="3"/>
        <v>13日(金) ことみ</v>
      </c>
      <c r="F14" s="2">
        <v>6</v>
      </c>
      <c r="G14" s="2">
        <v>1</v>
      </c>
      <c r="H14" s="2" t="s">
        <v>37</v>
      </c>
      <c r="I14" s="2" t="str">
        <f t="shared" si="7"/>
        <v>13日(金)&lt;/td&gt;&lt;td&gt; ことみ</v>
      </c>
      <c r="J14" s="2">
        <v>5</v>
      </c>
      <c r="K14" s="2">
        <v>1</v>
      </c>
      <c r="L14" s="2" t="s">
        <v>37</v>
      </c>
      <c r="M14" s="2" t="str">
        <f t="shared" si="5"/>
        <v>金</v>
      </c>
      <c r="O14" s="2" t="str">
        <f t="shared" si="8"/>
        <v>&lt;tr&gt;&lt;td&gt;13日(金)&lt;/td&gt;&lt;td&gt; ことみ</v>
      </c>
      <c r="P14" t="str">
        <f t="shared" si="9"/>
        <v>&lt;tr&gt;&lt;td&gt;13日(金)&lt;/td&gt;&lt;td&gt; ことみ&lt;/td&gt;&lt;/tr&gt;</v>
      </c>
    </row>
    <row r="15" spans="1:16" ht="18" x14ac:dyDescent="0.2">
      <c r="A15" s="9" t="s">
        <v>120</v>
      </c>
      <c r="B15" s="2">
        <v>1</v>
      </c>
      <c r="C15" s="2">
        <v>5</v>
      </c>
      <c r="D15" s="2" t="str">
        <f t="shared" si="6"/>
        <v>14日</v>
      </c>
      <c r="E15" s="2" t="str">
        <f t="shared" si="3"/>
        <v>14日(土) 柘榴</v>
      </c>
      <c r="F15" s="2">
        <v>6</v>
      </c>
      <c r="G15" s="2">
        <v>1</v>
      </c>
      <c r="H15" s="2" t="s">
        <v>37</v>
      </c>
      <c r="I15" s="2" t="str">
        <f t="shared" si="7"/>
        <v>14日(土)&lt;/td&gt;&lt;td&gt; 柘榴</v>
      </c>
      <c r="J15" s="2">
        <v>5</v>
      </c>
      <c r="K15" s="2">
        <v>1</v>
      </c>
      <c r="L15" s="2" t="s">
        <v>37</v>
      </c>
      <c r="M15" s="2" t="str">
        <f t="shared" si="5"/>
        <v>土</v>
      </c>
      <c r="O15" s="2" t="str">
        <f t="shared" si="8"/>
        <v>&lt;tr class='weekend'&gt;&lt;td&gt;14日(土)&lt;/td&gt;&lt;td&gt; 柘榴</v>
      </c>
      <c r="P15" t="str">
        <f t="shared" si="9"/>
        <v>&lt;tr class='weekend'&gt;&lt;td&gt;14日(土)&lt;/td&gt;&lt;td&gt; 柘榴&lt;/td&gt;&lt;/tr&gt;</v>
      </c>
    </row>
    <row r="16" spans="1:16" ht="18" x14ac:dyDescent="0.2">
      <c r="A16" s="9" t="s">
        <v>121</v>
      </c>
      <c r="B16" s="2">
        <v>1</v>
      </c>
      <c r="C16" s="2">
        <v>5</v>
      </c>
      <c r="D16" s="2" t="str">
        <f t="shared" si="6"/>
        <v>15日</v>
      </c>
      <c r="E16" s="2" t="str">
        <f t="shared" si="3"/>
        <v>15日(日) 柘榴</v>
      </c>
      <c r="F16" s="2">
        <v>6</v>
      </c>
      <c r="G16" s="2">
        <v>1</v>
      </c>
      <c r="H16" s="2" t="s">
        <v>37</v>
      </c>
      <c r="I16" s="2" t="str">
        <f t="shared" si="7"/>
        <v>15日(日)&lt;/td&gt;&lt;td&gt; 柘榴</v>
      </c>
      <c r="J16" s="2">
        <v>5</v>
      </c>
      <c r="K16" s="2">
        <v>1</v>
      </c>
      <c r="L16" s="2" t="s">
        <v>37</v>
      </c>
      <c r="M16" s="2" t="str">
        <f t="shared" si="5"/>
        <v>日</v>
      </c>
      <c r="O16" s="2" t="str">
        <f t="shared" si="8"/>
        <v>&lt;tr class='weekend'&gt;&lt;td&gt;15日(日)&lt;/td&gt;&lt;td&gt; 柘榴</v>
      </c>
      <c r="P16" t="str">
        <f t="shared" si="9"/>
        <v>&lt;tr class='weekend'&gt;&lt;td&gt;15日(日)&lt;/td&gt;&lt;td&gt; 柘榴&lt;span class='event_font'&gt;&amp;nbsp&amp;nbspセット料金半額DAY!&lt;/span&gt;&lt;/td&gt;&lt;/tr&gt;</v>
      </c>
    </row>
    <row r="17" spans="1:16" ht="18" x14ac:dyDescent="0.2">
      <c r="A17" s="9" t="s">
        <v>122</v>
      </c>
      <c r="B17" s="2">
        <v>1</v>
      </c>
      <c r="C17" s="2">
        <v>5</v>
      </c>
      <c r="D17" s="2" t="str">
        <f t="shared" si="6"/>
        <v>16日</v>
      </c>
      <c r="E17" s="2" t="str">
        <f t="shared" si="3"/>
        <v>16日(月)</v>
      </c>
      <c r="F17" s="2">
        <v>6</v>
      </c>
      <c r="G17" s="2">
        <v>1</v>
      </c>
      <c r="H17" s="2" t="s">
        <v>37</v>
      </c>
      <c r="I17" s="2" t="str">
        <f t="shared" si="7"/>
        <v>16日(月)&lt;/td&gt;&lt;td&gt;</v>
      </c>
      <c r="J17" s="2">
        <v>5</v>
      </c>
      <c r="K17" s="2">
        <v>1</v>
      </c>
      <c r="L17" s="2" t="s">
        <v>37</v>
      </c>
      <c r="M17" s="2" t="str">
        <f t="shared" si="5"/>
        <v>月</v>
      </c>
      <c r="O17" s="2" t="str">
        <f t="shared" si="8"/>
        <v>&lt;tr&gt;&lt;td&gt;16日(月)&lt;/td&gt;&lt;td&gt;</v>
      </c>
      <c r="P17" t="str">
        <f t="shared" si="9"/>
        <v>&lt;tr&gt;&lt;td&gt;16日(月)&lt;/td&gt;&lt;td&gt;&lt;/td&gt;&lt;/tr&gt;</v>
      </c>
    </row>
    <row r="18" spans="1:16" ht="18" x14ac:dyDescent="0.2">
      <c r="A18" s="9" t="s">
        <v>123</v>
      </c>
      <c r="B18" s="2">
        <v>1</v>
      </c>
      <c r="C18" s="2">
        <v>5</v>
      </c>
      <c r="D18" s="2" t="str">
        <f t="shared" si="6"/>
        <v>17日</v>
      </c>
      <c r="E18" s="2" t="str">
        <f t="shared" si="3"/>
        <v>17日(火)</v>
      </c>
      <c r="F18" s="2">
        <v>6</v>
      </c>
      <c r="G18" s="2">
        <v>1</v>
      </c>
      <c r="H18" s="2" t="s">
        <v>37</v>
      </c>
      <c r="I18" s="2" t="str">
        <f t="shared" si="7"/>
        <v>17日(火)&lt;/td&gt;&lt;td&gt;</v>
      </c>
      <c r="J18" s="2">
        <v>5</v>
      </c>
      <c r="K18" s="2">
        <v>1</v>
      </c>
      <c r="L18" s="2" t="s">
        <v>37</v>
      </c>
      <c r="M18" s="2" t="str">
        <f t="shared" si="5"/>
        <v>火</v>
      </c>
      <c r="O18" s="2" t="str">
        <f t="shared" si="8"/>
        <v>&lt;tr&gt;&lt;td&gt;17日(火)&lt;/td&gt;&lt;td&gt;</v>
      </c>
      <c r="P18" t="str">
        <f t="shared" si="9"/>
        <v>&lt;tr&gt;&lt;td&gt;17日(火)&lt;/td&gt;&lt;td&gt;&lt;/td&gt;&lt;/tr&gt;</v>
      </c>
    </row>
    <row r="19" spans="1:16" ht="18" x14ac:dyDescent="0.2">
      <c r="A19" s="9" t="s">
        <v>124</v>
      </c>
      <c r="B19" s="2">
        <v>1</v>
      </c>
      <c r="C19" s="2">
        <v>5</v>
      </c>
      <c r="D19" s="2" t="str">
        <f t="shared" si="6"/>
        <v>18日</v>
      </c>
      <c r="E19" s="2" t="str">
        <f t="shared" si="3"/>
        <v>18日(水)</v>
      </c>
      <c r="F19" s="2">
        <v>6</v>
      </c>
      <c r="G19" s="2">
        <v>1</v>
      </c>
      <c r="H19" s="2" t="s">
        <v>37</v>
      </c>
      <c r="I19" s="2" t="str">
        <f t="shared" si="7"/>
        <v>18日(水)&lt;/td&gt;&lt;td&gt;</v>
      </c>
      <c r="J19" s="2">
        <v>5</v>
      </c>
      <c r="K19" s="2">
        <v>1</v>
      </c>
      <c r="L19" s="2" t="s">
        <v>37</v>
      </c>
      <c r="M19" s="2" t="str">
        <f t="shared" si="5"/>
        <v>水</v>
      </c>
      <c r="O19" s="2" t="str">
        <f t="shared" si="8"/>
        <v>&lt;tr&gt;&lt;td&gt;18日(水)&lt;/td&gt;&lt;td&gt;</v>
      </c>
      <c r="P19" t="str">
        <f t="shared" si="9"/>
        <v>&lt;tr&gt;&lt;td&gt;18日(水)&lt;/td&gt;&lt;td&gt;&lt;/td&gt;&lt;/tr&gt;</v>
      </c>
    </row>
    <row r="20" spans="1:16" ht="18" x14ac:dyDescent="0.2">
      <c r="A20" s="9" t="s">
        <v>125</v>
      </c>
      <c r="B20" s="2">
        <v>1</v>
      </c>
      <c r="C20" s="2">
        <v>5</v>
      </c>
      <c r="D20" s="2" t="str">
        <f t="shared" si="6"/>
        <v>19日</v>
      </c>
      <c r="E20" s="2" t="str">
        <f t="shared" si="3"/>
        <v>19日(木) 柘榴</v>
      </c>
      <c r="F20" s="2">
        <v>6</v>
      </c>
      <c r="G20" s="2">
        <v>1</v>
      </c>
      <c r="H20" s="2" t="s">
        <v>37</v>
      </c>
      <c r="I20" s="2" t="str">
        <f t="shared" si="7"/>
        <v>19日(木)&lt;/td&gt;&lt;td&gt; 柘榴</v>
      </c>
      <c r="J20" s="2">
        <v>5</v>
      </c>
      <c r="K20" s="2">
        <v>1</v>
      </c>
      <c r="L20" s="2" t="s">
        <v>37</v>
      </c>
      <c r="M20" s="2" t="str">
        <f t="shared" si="5"/>
        <v>木</v>
      </c>
      <c r="O20" s="2" t="str">
        <f t="shared" si="8"/>
        <v>&lt;tr&gt;&lt;td&gt;19日(木)&lt;/td&gt;&lt;td&gt; 柘榴</v>
      </c>
      <c r="P20" t="str">
        <f t="shared" si="9"/>
        <v>&lt;tr&gt;&lt;td&gt;19日(木)&lt;/td&gt;&lt;td&gt; 柘榴&lt;/td&gt;&lt;/tr&gt;</v>
      </c>
    </row>
    <row r="21" spans="1:16" ht="18" x14ac:dyDescent="0.2">
      <c r="A21" s="9" t="s">
        <v>126</v>
      </c>
      <c r="B21" s="2">
        <v>1</v>
      </c>
      <c r="C21" s="2">
        <v>5</v>
      </c>
      <c r="D21" s="2" t="str">
        <f t="shared" si="6"/>
        <v>20日</v>
      </c>
      <c r="E21" s="2" t="str">
        <f t="shared" si="3"/>
        <v>20日(金) 柘榴</v>
      </c>
      <c r="F21" s="2">
        <v>6</v>
      </c>
      <c r="G21" s="2">
        <v>1</v>
      </c>
      <c r="H21" s="2" t="s">
        <v>37</v>
      </c>
      <c r="I21" s="2" t="str">
        <f t="shared" si="7"/>
        <v>20日(金)&lt;/td&gt;&lt;td&gt; 柘榴</v>
      </c>
      <c r="J21" s="2">
        <v>5</v>
      </c>
      <c r="K21" s="2">
        <v>1</v>
      </c>
      <c r="L21" s="2" t="s">
        <v>37</v>
      </c>
      <c r="M21" s="2" t="str">
        <f t="shared" si="5"/>
        <v>金</v>
      </c>
      <c r="O21" s="2" t="str">
        <f t="shared" si="8"/>
        <v>&lt;tr&gt;&lt;td&gt;20日(金)&lt;/td&gt;&lt;td&gt; 柘榴</v>
      </c>
      <c r="P21" t="str">
        <f t="shared" si="9"/>
        <v>&lt;tr&gt;&lt;td&gt;20日(金)&lt;/td&gt;&lt;td&gt; 柘榴&lt;/td&gt;&lt;/tr&gt;</v>
      </c>
    </row>
    <row r="22" spans="1:16" ht="36" x14ac:dyDescent="0.2">
      <c r="A22" s="8" t="s">
        <v>127</v>
      </c>
      <c r="B22" s="2">
        <v>1</v>
      </c>
      <c r="C22" s="2">
        <v>5</v>
      </c>
      <c r="D22" s="2" t="str">
        <f t="shared" si="6"/>
        <v>21日</v>
      </c>
      <c r="E22" s="2" t="str">
        <f t="shared" si="3"/>
        <v>21日(土) イリヤ, ことみ 【イリヤバースデー】</v>
      </c>
      <c r="F22" s="2">
        <v>6</v>
      </c>
      <c r="G22" s="2">
        <v>1</v>
      </c>
      <c r="H22" s="2" t="s">
        <v>37</v>
      </c>
      <c r="I22" s="2" t="str">
        <f t="shared" si="7"/>
        <v>21日(土)&lt;/td&gt;&lt;td&gt; イリヤ, ことみ 【イリヤバースデー】</v>
      </c>
      <c r="J22" s="2">
        <v>5</v>
      </c>
      <c r="K22" s="2">
        <v>1</v>
      </c>
      <c r="L22" s="2" t="s">
        <v>37</v>
      </c>
      <c r="M22" s="2" t="str">
        <f t="shared" si="5"/>
        <v>土</v>
      </c>
      <c r="O22" s="2" t="str">
        <f t="shared" si="8"/>
        <v>&lt;tr class='weekend'&gt;&lt;td&gt;21日(土)&lt;/td&gt;&lt;td&gt; イリヤ, ことみ 【イリヤバースデー】</v>
      </c>
      <c r="P22" t="str">
        <f t="shared" si="9"/>
        <v>&lt;tr class='weekend'&gt;&lt;td&gt;21日(土)&lt;/td&gt;&lt;td&gt; イリヤ, ことみ 【イリヤバースデー】&lt;/td&gt;&lt;/tr&gt;</v>
      </c>
    </row>
    <row r="23" spans="1:16" ht="18" x14ac:dyDescent="0.2">
      <c r="A23" s="8" t="s">
        <v>128</v>
      </c>
      <c r="B23" s="2">
        <v>1</v>
      </c>
      <c r="C23" s="2">
        <v>5</v>
      </c>
      <c r="D23" s="2" t="str">
        <f t="shared" si="6"/>
        <v>22日</v>
      </c>
      <c r="E23" s="2" t="str">
        <f t="shared" si="3"/>
        <v>22日(日)</v>
      </c>
      <c r="F23" s="2">
        <v>6</v>
      </c>
      <c r="G23" s="2">
        <v>1</v>
      </c>
      <c r="H23" s="2" t="s">
        <v>37</v>
      </c>
      <c r="I23" s="2" t="str">
        <f t="shared" si="7"/>
        <v>22日(日)&lt;/td&gt;&lt;td&gt;</v>
      </c>
      <c r="J23" s="2">
        <v>5</v>
      </c>
      <c r="K23" s="2">
        <v>1</v>
      </c>
      <c r="L23" s="2" t="s">
        <v>37</v>
      </c>
      <c r="M23" s="2" t="str">
        <f t="shared" si="5"/>
        <v>日</v>
      </c>
      <c r="O23" s="2" t="str">
        <f t="shared" si="8"/>
        <v>&lt;tr class='weekend'&gt;&lt;td&gt;22日(日)&lt;/td&gt;&lt;td&gt;</v>
      </c>
      <c r="P23" t="str">
        <f t="shared" si="9"/>
        <v>&lt;tr class='weekend'&gt;&lt;td&gt;22日(日)&lt;/td&gt;&lt;td&gt;&lt;span class='event_font'&gt;&amp;nbsp&amp;nbspセット料金半額DAY!&lt;/span&gt;&lt;/td&gt;&lt;/tr&gt;</v>
      </c>
    </row>
    <row r="24" spans="1:16" ht="18" x14ac:dyDescent="0.2">
      <c r="A24" s="8" t="s">
        <v>129</v>
      </c>
      <c r="B24" s="2">
        <v>1</v>
      </c>
      <c r="C24" s="2">
        <v>5</v>
      </c>
      <c r="D24" s="2" t="str">
        <f t="shared" si="6"/>
        <v>23日</v>
      </c>
      <c r="E24" s="2" t="str">
        <f t="shared" si="3"/>
        <v>23日(月)</v>
      </c>
      <c r="F24" s="2">
        <v>6</v>
      </c>
      <c r="G24" s="2">
        <v>1</v>
      </c>
      <c r="H24" s="2" t="s">
        <v>37</v>
      </c>
      <c r="I24" s="2" t="str">
        <f t="shared" si="7"/>
        <v>23日(月)&lt;/td&gt;&lt;td&gt;</v>
      </c>
      <c r="J24" s="2">
        <v>5</v>
      </c>
      <c r="K24" s="2">
        <v>1</v>
      </c>
      <c r="L24" s="2" t="s">
        <v>37</v>
      </c>
      <c r="M24" s="2" t="str">
        <f t="shared" si="5"/>
        <v>月</v>
      </c>
      <c r="O24" s="2" t="str">
        <f t="shared" si="8"/>
        <v>&lt;tr&gt;&lt;td&gt;23日(月)&lt;/td&gt;&lt;td&gt;</v>
      </c>
      <c r="P24" t="str">
        <f t="shared" si="9"/>
        <v>&lt;tr&gt;&lt;td&gt;23日(月)&lt;/td&gt;&lt;td&gt;&lt;/td&gt;&lt;/tr&gt;</v>
      </c>
    </row>
    <row r="25" spans="1:16" ht="18" x14ac:dyDescent="0.2">
      <c r="A25" s="8" t="s">
        <v>130</v>
      </c>
      <c r="B25" s="2">
        <v>1</v>
      </c>
      <c r="C25" s="2">
        <v>5</v>
      </c>
      <c r="D25" s="2" t="str">
        <f t="shared" si="6"/>
        <v>24日</v>
      </c>
      <c r="E25" s="2" t="str">
        <f t="shared" si="3"/>
        <v>24日(火)</v>
      </c>
      <c r="F25" s="2">
        <v>6</v>
      </c>
      <c r="G25" s="2">
        <v>1</v>
      </c>
      <c r="H25" s="2" t="s">
        <v>37</v>
      </c>
      <c r="I25" s="2" t="str">
        <f t="shared" si="7"/>
        <v>24日(火)&lt;/td&gt;&lt;td&gt;</v>
      </c>
      <c r="J25" s="2">
        <v>5</v>
      </c>
      <c r="K25" s="2">
        <v>1</v>
      </c>
      <c r="L25" s="2" t="s">
        <v>37</v>
      </c>
      <c r="M25" s="2" t="str">
        <f t="shared" si="5"/>
        <v>火</v>
      </c>
      <c r="O25" s="2" t="str">
        <f t="shared" si="8"/>
        <v>&lt;tr&gt;&lt;td&gt;24日(火)&lt;/td&gt;&lt;td&gt;</v>
      </c>
      <c r="P25" t="str">
        <f t="shared" si="9"/>
        <v>&lt;tr&gt;&lt;td&gt;24日(火)&lt;/td&gt;&lt;td&gt;&lt;/td&gt;&lt;/tr&gt;</v>
      </c>
    </row>
    <row r="26" spans="1:16" ht="18" x14ac:dyDescent="0.2">
      <c r="A26" s="8" t="s">
        <v>131</v>
      </c>
      <c r="B26" s="2">
        <v>1</v>
      </c>
      <c r="C26" s="2">
        <v>5</v>
      </c>
      <c r="D26" s="2" t="str">
        <f t="shared" si="6"/>
        <v>25日</v>
      </c>
      <c r="E26" s="2" t="str">
        <f t="shared" si="3"/>
        <v>25日(水)</v>
      </c>
      <c r="F26" s="2">
        <v>6</v>
      </c>
      <c r="G26" s="2">
        <v>1</v>
      </c>
      <c r="H26" s="2" t="s">
        <v>37</v>
      </c>
      <c r="I26" s="2" t="str">
        <f t="shared" si="7"/>
        <v>25日(水)&lt;/td&gt;&lt;td&gt;</v>
      </c>
      <c r="J26" s="2">
        <v>5</v>
      </c>
      <c r="K26" s="2">
        <v>1</v>
      </c>
      <c r="L26" s="2" t="s">
        <v>37</v>
      </c>
      <c r="M26" s="2" t="str">
        <f t="shared" si="5"/>
        <v>水</v>
      </c>
      <c r="O26" s="2" t="str">
        <f t="shared" si="8"/>
        <v>&lt;tr&gt;&lt;td&gt;25日(水)&lt;/td&gt;&lt;td&gt;</v>
      </c>
      <c r="P26" t="str">
        <f t="shared" si="9"/>
        <v>&lt;tr&gt;&lt;td&gt;25日(水)&lt;/td&gt;&lt;td&gt;&lt;/td&gt;&lt;/tr&gt;</v>
      </c>
    </row>
    <row r="27" spans="1:16" ht="18" x14ac:dyDescent="0.2">
      <c r="A27" s="8" t="s">
        <v>132</v>
      </c>
      <c r="B27" s="2">
        <v>1</v>
      </c>
      <c r="C27" s="2">
        <v>5</v>
      </c>
      <c r="D27" s="2" t="str">
        <f t="shared" si="6"/>
        <v>26日</v>
      </c>
      <c r="E27" s="2" t="str">
        <f t="shared" si="3"/>
        <v>26日(木) 柘榴</v>
      </c>
      <c r="F27" s="2">
        <v>6</v>
      </c>
      <c r="G27" s="2">
        <v>1</v>
      </c>
      <c r="H27" s="2" t="s">
        <v>37</v>
      </c>
      <c r="I27" s="2" t="str">
        <f t="shared" si="7"/>
        <v>26日(木)&lt;/td&gt;&lt;td&gt; 柘榴</v>
      </c>
      <c r="J27" s="2">
        <v>5</v>
      </c>
      <c r="K27" s="2">
        <v>1</v>
      </c>
      <c r="L27" s="2" t="s">
        <v>37</v>
      </c>
      <c r="M27" s="2" t="str">
        <f t="shared" si="5"/>
        <v>木</v>
      </c>
      <c r="O27" s="2" t="str">
        <f t="shared" si="8"/>
        <v>&lt;tr&gt;&lt;td&gt;26日(木)&lt;/td&gt;&lt;td&gt; 柘榴</v>
      </c>
      <c r="P27" t="str">
        <f t="shared" si="9"/>
        <v>&lt;tr&gt;&lt;td&gt;26日(木)&lt;/td&gt;&lt;td&gt; 柘榴&lt;/td&gt;&lt;/tr&gt;</v>
      </c>
    </row>
    <row r="28" spans="1:16" ht="18" x14ac:dyDescent="0.2">
      <c r="A28" s="8" t="s">
        <v>133</v>
      </c>
      <c r="B28" s="2">
        <v>1</v>
      </c>
      <c r="C28" s="2">
        <v>5</v>
      </c>
      <c r="D28" s="2" t="str">
        <f t="shared" si="6"/>
        <v>27日</v>
      </c>
      <c r="E28" s="2" t="str">
        <f t="shared" si="3"/>
        <v>27日(金) 柘榴</v>
      </c>
      <c r="F28" s="2">
        <v>6</v>
      </c>
      <c r="G28" s="2">
        <v>1</v>
      </c>
      <c r="H28" s="2" t="s">
        <v>37</v>
      </c>
      <c r="I28" s="2" t="str">
        <f t="shared" si="7"/>
        <v>27日(金)&lt;/td&gt;&lt;td&gt; 柘榴</v>
      </c>
      <c r="J28" s="2">
        <v>5</v>
      </c>
      <c r="K28" s="2">
        <v>1</v>
      </c>
      <c r="L28" s="2" t="s">
        <v>37</v>
      </c>
      <c r="M28" s="2" t="str">
        <f t="shared" si="5"/>
        <v>金</v>
      </c>
      <c r="O28" s="2" t="str">
        <f t="shared" si="8"/>
        <v>&lt;tr&gt;&lt;td&gt;27日(金)&lt;/td&gt;&lt;td&gt; 柘榴</v>
      </c>
      <c r="P28" t="str">
        <f t="shared" si="9"/>
        <v>&lt;tr&gt;&lt;td&gt;27日(金)&lt;/td&gt;&lt;td&gt; 柘榴&lt;/td&gt;&lt;/tr&gt;</v>
      </c>
    </row>
    <row r="29" spans="1:16" ht="18" x14ac:dyDescent="0.2">
      <c r="A29" s="8" t="s">
        <v>134</v>
      </c>
      <c r="B29" s="2">
        <v>1</v>
      </c>
      <c r="C29" s="2">
        <v>5</v>
      </c>
      <c r="D29" s="2" t="str">
        <f t="shared" si="6"/>
        <v>28日</v>
      </c>
      <c r="E29" s="2" t="str">
        <f t="shared" si="3"/>
        <v>28日(土) イリヤ</v>
      </c>
      <c r="F29" s="2">
        <v>6</v>
      </c>
      <c r="G29" s="2">
        <v>1</v>
      </c>
      <c r="H29" s="2" t="s">
        <v>37</v>
      </c>
      <c r="I29" s="2" t="str">
        <f t="shared" si="7"/>
        <v>28日(土)&lt;/td&gt;&lt;td&gt; イリヤ</v>
      </c>
      <c r="J29" s="2">
        <v>5</v>
      </c>
      <c r="K29" s="2">
        <v>1</v>
      </c>
      <c r="L29" s="2" t="s">
        <v>37</v>
      </c>
      <c r="M29" s="2" t="str">
        <f t="shared" si="5"/>
        <v>土</v>
      </c>
      <c r="O29" s="2" t="str">
        <f t="shared" si="8"/>
        <v>&lt;tr class='weekend'&gt;&lt;td&gt;28日(土)&lt;/td&gt;&lt;td&gt; イリヤ</v>
      </c>
      <c r="P29" t="str">
        <f t="shared" si="9"/>
        <v>&lt;tr class='weekend'&gt;&lt;td&gt;28日(土)&lt;/td&gt;&lt;td&gt; イリヤ&lt;/td&gt;&lt;/tr&gt;</v>
      </c>
    </row>
    <row r="30" spans="1:16" ht="18" x14ac:dyDescent="0.2">
      <c r="A30" s="8" t="s">
        <v>135</v>
      </c>
      <c r="B30" s="2">
        <v>1</v>
      </c>
      <c r="C30" s="2">
        <v>5</v>
      </c>
      <c r="D30" s="2" t="str">
        <f t="shared" si="6"/>
        <v>29日</v>
      </c>
      <c r="E30" s="2" t="str">
        <f t="shared" si="3"/>
        <v>29日(日) カナ</v>
      </c>
      <c r="F30" s="2">
        <v>6</v>
      </c>
      <c r="G30" s="2">
        <v>1</v>
      </c>
      <c r="H30" s="2" t="s">
        <v>37</v>
      </c>
      <c r="I30" s="2" t="str">
        <f t="shared" si="7"/>
        <v>29日(日)&lt;/td&gt;&lt;td&gt; カナ</v>
      </c>
      <c r="J30" s="2">
        <v>5</v>
      </c>
      <c r="K30" s="2">
        <v>1</v>
      </c>
      <c r="L30" s="2" t="s">
        <v>37</v>
      </c>
      <c r="M30" s="2" t="str">
        <f t="shared" si="5"/>
        <v>日</v>
      </c>
      <c r="O30" s="2" t="str">
        <f t="shared" si="8"/>
        <v>&lt;tr class='weekend'&gt;&lt;td&gt;29日(日)&lt;/td&gt;&lt;td&gt; カナ</v>
      </c>
      <c r="P30" t="str">
        <f t="shared" si="9"/>
        <v>&lt;tr class='weekend'&gt;&lt;td&gt;29日(日)&lt;/td&gt;&lt;td&gt; カナ&lt;span class='event_font'&gt;&amp;nbsp&amp;nbspセット料金半額DAY!&lt;/span&gt;&lt;/td&gt;&lt;/tr&gt;</v>
      </c>
    </row>
    <row r="31" spans="1:16" ht="18" x14ac:dyDescent="0.2">
      <c r="A31" s="8" t="s">
        <v>136</v>
      </c>
      <c r="B31" s="2">
        <v>1</v>
      </c>
      <c r="C31" s="2">
        <v>5</v>
      </c>
      <c r="D31" s="2" t="str">
        <f t="shared" si="6"/>
        <v>30日</v>
      </c>
      <c r="E31" s="2" t="str">
        <f t="shared" si="3"/>
        <v>30日(月) カナ</v>
      </c>
      <c r="F31" s="2">
        <v>6</v>
      </c>
      <c r="G31" s="2">
        <v>1</v>
      </c>
      <c r="H31" s="2" t="s">
        <v>37</v>
      </c>
      <c r="I31" s="2" t="str">
        <f t="shared" si="7"/>
        <v>30日(月)&lt;/td&gt;&lt;td&gt; カナ</v>
      </c>
      <c r="J31" s="2">
        <v>5</v>
      </c>
      <c r="K31" s="2">
        <v>1</v>
      </c>
      <c r="L31" s="2" t="s">
        <v>37</v>
      </c>
      <c r="M31" s="2" t="str">
        <f t="shared" si="5"/>
        <v>月</v>
      </c>
      <c r="O31" s="2" t="str">
        <f t="shared" si="8"/>
        <v>&lt;tr&gt;&lt;td&gt;30日(月)&lt;/td&gt;&lt;td&gt; カナ</v>
      </c>
      <c r="P31" t="str">
        <f t="shared" si="9"/>
        <v>&lt;tr&gt;&lt;td&gt;30日(月)&lt;/td&gt;&lt;td&gt; カナ&lt;/td&gt;&lt;/tr&gt;</v>
      </c>
    </row>
    <row r="32" spans="1:16" ht="18" x14ac:dyDescent="0.2">
      <c r="A32" s="8" t="s">
        <v>137</v>
      </c>
      <c r="B32" s="2">
        <v>1</v>
      </c>
      <c r="C32" s="2">
        <v>5</v>
      </c>
      <c r="D32" s="2" t="str">
        <f t="shared" si="6"/>
        <v>31日</v>
      </c>
      <c r="E32" s="2" t="str">
        <f t="shared" si="3"/>
        <v xml:space="preserve">31日(火) </v>
      </c>
      <c r="F32" s="2">
        <v>6</v>
      </c>
      <c r="G32" s="2">
        <v>1</v>
      </c>
      <c r="H32" s="2" t="s">
        <v>37</v>
      </c>
      <c r="I32" s="2" t="str">
        <f t="shared" si="7"/>
        <v xml:space="preserve">31日(火)&lt;/td&gt;&lt;td&gt; </v>
      </c>
      <c r="J32" s="2">
        <v>5</v>
      </c>
      <c r="K32" s="2">
        <v>1</v>
      </c>
      <c r="L32" s="2" t="s">
        <v>37</v>
      </c>
      <c r="M32" s="2" t="str">
        <f t="shared" si="5"/>
        <v>火</v>
      </c>
      <c r="O32" s="2" t="str">
        <f t="shared" si="8"/>
        <v xml:space="preserve">&lt;tr&gt;&lt;td&gt;31日(火)&lt;/td&gt;&lt;td&gt; </v>
      </c>
      <c r="P32" t="str">
        <f t="shared" si="9"/>
        <v>&lt;tr&gt;&lt;td&gt;31日(火)&lt;/td&gt;&lt;td&gt; 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A34" sqref="A34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20190901</vt:lpstr>
      <vt:lpstr>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2019-12-01T02:02:54Z</dcterms:modified>
</cp:coreProperties>
</file>