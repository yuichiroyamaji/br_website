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1CDC19E7-7727-4EF7-81FE-8369749B3592}" xr6:coauthVersionLast="46" xr6:coauthVersionMax="46" xr10:uidLastSave="{00000000-0000-0000-0000-000000000000}"/>
  <bookViews>
    <workbookView xWindow="-96" yWindow="-96" windowWidth="23232" windowHeight="12552" activeTab="1" xr2:uid="{00000000-000D-0000-FFFF-FFFF00000000}"/>
  </bookViews>
  <sheets>
    <sheet name="Sheet1" sheetId="1" r:id="rId1"/>
    <sheet name="20190901" sheetId="5" r:id="rId2"/>
    <sheet name="Sheet2" sheetId="6" r:id="rId3"/>
    <sheet name="en" sheetId="4" r:id="rId4"/>
  </sheets>
  <calcPr calcId="181029"/>
</workbook>
</file>

<file path=xl/calcChain.xml><?xml version="1.0" encoding="utf-8"?>
<calcChain xmlns="http://schemas.openxmlformats.org/spreadsheetml/2006/main">
  <c r="I29" i="6" l="1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8" i="5"/>
  <c r="E28" i="5" s="1"/>
  <c r="I28" i="5" s="1"/>
  <c r="M28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2" i="5"/>
  <c r="E22" i="5" s="1"/>
  <c r="I22" i="5" s="1"/>
  <c r="M22" i="5" s="1"/>
  <c r="D21" i="5"/>
  <c r="E21" i="5" s="1"/>
  <c r="I21" i="5" s="1"/>
  <c r="M21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6" i="5"/>
  <c r="E16" i="5" s="1"/>
  <c r="I16" i="5" s="1"/>
  <c r="M16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11" i="5"/>
  <c r="E11" i="5" s="1"/>
  <c r="I11" i="5" s="1"/>
  <c r="M11" i="5" s="1"/>
  <c r="D10" i="5"/>
  <c r="E10" i="5" s="1"/>
  <c r="I10" i="5" s="1"/>
  <c r="M10" i="5" s="1"/>
  <c r="D9" i="5"/>
  <c r="E9" i="5" s="1"/>
  <c r="I9" i="5" s="1"/>
  <c r="M9" i="5" s="1"/>
  <c r="D8" i="5"/>
  <c r="E8" i="5" s="1"/>
  <c r="I8" i="5" s="1"/>
  <c r="M8" i="5" s="1"/>
  <c r="D7" i="5"/>
  <c r="E7" i="5" s="1"/>
  <c r="I7" i="5" s="1"/>
  <c r="M7" i="5" s="1"/>
  <c r="D6" i="5"/>
  <c r="E6" i="5" s="1"/>
  <c r="I6" i="5" s="1"/>
  <c r="M6" i="5" s="1"/>
  <c r="D5" i="5"/>
  <c r="E5" i="5" s="1"/>
  <c r="I5" i="5" s="1"/>
  <c r="M5" i="5" s="1"/>
  <c r="D4" i="5"/>
  <c r="E4" i="5" s="1"/>
  <c r="I4" i="5" s="1"/>
  <c r="M4" i="5" s="1"/>
  <c r="D3" i="5"/>
  <c r="E3" i="5" s="1"/>
  <c r="I3" i="5" s="1"/>
  <c r="M3" i="5" s="1"/>
  <c r="D2" i="5"/>
  <c r="E2" i="5" s="1"/>
  <c r="I2" i="5" s="1"/>
  <c r="M2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<sst xmlns="http://schemas.openxmlformats.org/spreadsheetml/2006/main" count="578" uniqueCount="179">
  <si>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</si>
  <si>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</si>
  <si>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</si>
  <si>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</si>
  <si>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</si>
  <si>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</si>
  <si>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</si>
  <si>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</si>
  <si>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</si>
  <si>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</si>
  <si>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</si>
  <si>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</si>
  <si>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</si>
  <si>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</si>
  <si>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</si>
  <si>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</si>
  <si>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</si>
  <si>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</si>
  <si>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</si>
  <si>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</si>
  <si>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</si>
  <si>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</si>
  <si>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</si>
  <si>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</si>
  <si>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</si>
  <si>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</si>
  <si>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</si>
  <si>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</si>
  <si>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</si>
  <si>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</si>
  <si>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</si>
  <si>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</si>
  <si>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</si>
  <si>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</si>
  <si>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</si>
  <si>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</si>
  <si>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</si>
  <si>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</si>
  <si>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</si>
  <si>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</si>
  <si>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</si>
  <si>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</si>
  <si>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</si>
  <si>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</si>
  <si>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</si>
  <si>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</si>
  <si>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</si>
  <si>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</si>
  <si>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</si>
  <si>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</si>
  <si>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</si>
  <si>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</si>
  <si>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</si>
  <si>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</si>
  <si>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</si>
  <si>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</si>
  <si>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</si>
  <si>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</si>
  <si>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</si>
  <si>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</si>
  <si>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</si>
  <si>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</si>
  <si>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</si>
  <si>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</si>
  <si>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</si>
  <si>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</si>
  <si>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</si>
  <si>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</si>
  <si>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</si>
  <si>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</si>
  <si>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</si>
  <si>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</si>
  <si>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</si>
  <si>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</si>
  <si>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</si>
  <si>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</si>
  <si>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</si>
  <si>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</si>
  <si>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</si>
  <si>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</si>
  <si>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</si>
  <si>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</si>
  <si>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</si>
  <si>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</si>
  <si>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</si>
  <si>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</si>
  <si>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</si>
  <si>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</si>
  <si>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</si>
  <si>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</si>
  <si>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</si>
  <si>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</si>
  <si>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</si>
  <si>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</si>
  <si>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</si>
  <si>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</si>
  <si>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</si>
  <si>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</si>
  <si>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</si>
  <si>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</si>
  <si>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</si>
  <si>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</si>
  <si>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</si>
  <si>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</si>
  <si>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</si>
  <si>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</si>
  <si>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</si>
  <si>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</si>
  <si>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</si>
  <si>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</si>
  <si>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</si>
  <si>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</si>
  <si>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</si>
  <si>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</si>
  <si>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</si>
  <si>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</si>
  <si>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</si>
  <si>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</si>
  <si>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</si>
  <si>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</si>
  <si>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</si>
  <si>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</si>
  <si>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</si>
  <si>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</si>
  <si>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</si>
  <si>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</si>
  <si>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</si>
  <si>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</si>
  <si>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</si>
  <si>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</si>
  <si>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</si>
  <si>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</si>
  <si>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</si>
  <si>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</si>
  <si>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</si>
  <si>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</si>
  <si>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</si>
  <si>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</si>
  <si>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</si>
  <si>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</si>
  <si>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</si>
  <si>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</si>
  <si>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</si>
  <si>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</si>
  <si>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</si>
  <si>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</si>
  <si>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</si>
  <si>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</si>
  <si>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 xml:space="preserve">03/31(水) </t>
  </si>
  <si>
    <t>04/01(木)</t>
  </si>
  <si>
    <t>04/02(金)</t>
  </si>
  <si>
    <t>04/03(土) 柘榴, 密</t>
  </si>
  <si>
    <t>04/04(日)</t>
  </si>
  <si>
    <t>04/05(月)</t>
  </si>
  <si>
    <t>04/06(火) 柘榴</t>
  </si>
  <si>
    <t>04/07(水)</t>
  </si>
  <si>
    <t>04/08(木)</t>
  </si>
  <si>
    <t>04/09(金) 柘榴</t>
  </si>
  <si>
    <t>04/10(土) 美咲, イリヤ</t>
  </si>
  <si>
    <t>04/11(日)</t>
  </si>
  <si>
    <t>04/12(月)</t>
  </si>
  <si>
    <t>04/13(火) 柘榴</t>
  </si>
  <si>
    <t>04/14(水)</t>
  </si>
  <si>
    <t>04/15(木)</t>
  </si>
  <si>
    <t>04/16(金) 密</t>
  </si>
  <si>
    <t>04/17(土) 美咲, 柘榴</t>
  </si>
  <si>
    <t>04/18(日) 柘榴</t>
  </si>
  <si>
    <t>04/19(月)</t>
  </si>
  <si>
    <t>04/20(火) 柘榴</t>
  </si>
  <si>
    <t>04/21(水)</t>
  </si>
  <si>
    <t>04/22(木)</t>
  </si>
  <si>
    <t>04/23(金) 密</t>
  </si>
  <si>
    <t>04/24(土) イリヤ</t>
  </si>
  <si>
    <t>04/25(日)</t>
  </si>
  <si>
    <t>04/26(月)</t>
  </si>
  <si>
    <t>04/27(火) 柘榴</t>
  </si>
  <si>
    <t>04/28(水)</t>
  </si>
  <si>
    <t>04/29(木) 柘榴</t>
  </si>
  <si>
    <t xml:space="preserve">04/30(金)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</si>
</sst>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P32"/>
  <sheetViews>
    <sheetView tabSelected="1" workbookViewId="0">
      <selection activeCell="P31" sqref="P2:P31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</cols>
  <sheetData>
    <row r="1" spans="1:16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</row>
    <row r="2" spans="1:16" ht="18" x14ac:dyDescent="0.2">
      <c r="A2" s="8" t="s">
        <v>149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>1日(木)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</v>
      </c>
      <c r="J2" s="2">
        <v>4</v>
      </c>
      <c r="K2" s="2">
        <v>1</v>
      </c>
      <c r="L2" s="2" t="s">
        <v>37</v>
      </c>
      <c r="M2" s="2" t="str">
        <f>MID(I2,J2,K2)</f>
        <v>木</v>
      </c>
      <c r="O2" s="2" t="str">
        <f t="shared" ref="O2:O11" si="0">IF(OR(M2="土", M2="日"), "&lt;tr class='weekend'&gt;&lt;td&gt;"&amp;I2, "&lt;tr&gt;&lt;td&gt;"&amp;I2)</f>
        <v>&lt;tr&gt;&lt;td&gt;1日(木)&lt;/td&gt;&lt;td&gt;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&lt;tr&gt;&lt;td&gt;1日(木)&lt;/td&gt;&lt;td&gt;&lt;/td&gt;&lt;/tr&gt;</v>
      </c>
    </row>
    <row r="3" spans="1:16" ht="18" x14ac:dyDescent="0.2">
      <c r="A3" s="8" t="s">
        <v>150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>2日(金)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>2日(金)&lt;/td&gt;&lt;td&gt;</v>
      </c>
      <c r="J3" s="2">
        <v>4</v>
      </c>
      <c r="K3" s="2">
        <v>1</v>
      </c>
      <c r="L3" s="2" t="s">
        <v>37</v>
      </c>
      <c r="M3" s="2" t="str">
        <f t="shared" ref="M3:M32" si="5">MID(I3,J3,K3)</f>
        <v>金</v>
      </c>
      <c r="O3" s="2" t="str">
        <f t="shared" si="0"/>
        <v>&lt;tr&gt;&lt;td&gt;2日(金)&lt;/td&gt;&lt;td&gt;</v>
      </c>
      <c r="P3" t="str">
        <f t="shared" si="1"/>
        <v>&lt;tr&gt;&lt;td&gt;2日(金)&lt;/td&gt;&lt;td&gt;&lt;/td&gt;&lt;/tr&gt;</v>
      </c>
    </row>
    <row r="4" spans="1:16" ht="18" x14ac:dyDescent="0.2">
      <c r="A4" s="8" t="s">
        <v>151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3日(土) 柘榴, 密</v>
      </c>
      <c r="F4" s="2">
        <v>5</v>
      </c>
      <c r="G4" s="2">
        <v>1</v>
      </c>
      <c r="H4" s="2" t="s">
        <v>37</v>
      </c>
      <c r="I4" s="2" t="str">
        <f t="shared" si="4"/>
        <v>3日(土)&lt;/td&gt;&lt;td&gt; 柘榴, 密</v>
      </c>
      <c r="J4" s="2">
        <v>4</v>
      </c>
      <c r="K4" s="2">
        <v>1</v>
      </c>
      <c r="L4" s="2" t="s">
        <v>37</v>
      </c>
      <c r="M4" s="2" t="str">
        <f t="shared" si="5"/>
        <v>土</v>
      </c>
      <c r="O4" s="2" t="str">
        <f t="shared" si="0"/>
        <v>&lt;tr class='weekend'&gt;&lt;td&gt;3日(土)&lt;/td&gt;&lt;td&gt; 柘榴, 密</v>
      </c>
      <c r="P4" t="str">
        <f t="shared" si="1"/>
        <v>&lt;tr class='weekend'&gt;&lt;td&gt;3日(土)&lt;/td&gt;&lt;td&gt; 柘榴, 密&lt;/td&gt;&lt;/tr&gt;</v>
      </c>
    </row>
    <row r="5" spans="1:16" ht="18" x14ac:dyDescent="0.2">
      <c r="A5" s="8" t="s">
        <v>152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>4日(日)</v>
      </c>
      <c r="F5" s="2">
        <v>5</v>
      </c>
      <c r="G5" s="2">
        <v>1</v>
      </c>
      <c r="H5" s="2" t="s">
        <v>37</v>
      </c>
      <c r="I5" s="2" t="str">
        <f t="shared" si="4"/>
        <v>4日(日)&lt;/td&gt;&lt;td&gt;</v>
      </c>
      <c r="J5" s="2">
        <v>4</v>
      </c>
      <c r="K5" s="2">
        <v>1</v>
      </c>
      <c r="L5" s="2" t="s">
        <v>37</v>
      </c>
      <c r="M5" s="2" t="str">
        <f t="shared" si="5"/>
        <v>日</v>
      </c>
      <c r="O5" s="2" t="str">
        <f t="shared" si="0"/>
        <v>&lt;tr class='weekend'&gt;&lt;td&gt;4日(日)&lt;/td&gt;&lt;td&gt;</v>
      </c>
      <c r="P5" t="str">
        <f t="shared" si="1"/>
        <v>&lt;tr class='weekend'&gt;&lt;td&gt;4日(日)&lt;/td&gt;&lt;td&gt;&lt;span class='event_font'&gt;&amp;nbsp&amp;nbspセット料金半額DAY!&lt;/span&gt;&lt;/td&gt;&lt;/tr&gt;</v>
      </c>
    </row>
    <row r="6" spans="1:16" ht="18" x14ac:dyDescent="0.2">
      <c r="A6" s="8" t="s">
        <v>153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>5日(月)</v>
      </c>
      <c r="F6" s="2">
        <v>5</v>
      </c>
      <c r="G6" s="2">
        <v>1</v>
      </c>
      <c r="H6" s="2" t="s">
        <v>37</v>
      </c>
      <c r="I6" s="2" t="str">
        <f t="shared" si="4"/>
        <v>5日(月)&lt;/td&gt;&lt;td&gt;</v>
      </c>
      <c r="J6" s="2">
        <v>4</v>
      </c>
      <c r="K6" s="2">
        <v>1</v>
      </c>
      <c r="L6" s="2" t="s">
        <v>37</v>
      </c>
      <c r="M6" s="2" t="str">
        <f t="shared" si="5"/>
        <v>月</v>
      </c>
      <c r="O6" s="2" t="str">
        <f t="shared" si="0"/>
        <v>&lt;tr&gt;&lt;td&gt;5日(月)&lt;/td&gt;&lt;td&gt;</v>
      </c>
      <c r="P6" t="str">
        <f t="shared" si="1"/>
        <v>&lt;tr&gt;&lt;td&gt;5日(月)&lt;/td&gt;&lt;td&gt;&lt;/td&gt;&lt;/tr&gt;</v>
      </c>
    </row>
    <row r="7" spans="1:16" ht="18" x14ac:dyDescent="0.2">
      <c r="A7" s="8" t="s">
        <v>154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6日(火) 柘榴</v>
      </c>
      <c r="F7" s="2">
        <v>5</v>
      </c>
      <c r="G7" s="2">
        <v>1</v>
      </c>
      <c r="H7" s="2" t="s">
        <v>37</v>
      </c>
      <c r="I7" s="2" t="str">
        <f t="shared" si="4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5"/>
        <v>火</v>
      </c>
      <c r="O7" s="2" t="str">
        <f t="shared" si="0"/>
        <v>&lt;tr&gt;&lt;td&gt;6日(火)&lt;/td&gt;&lt;td&gt; 柘榴</v>
      </c>
      <c r="P7" t="str">
        <f t="shared" si="1"/>
        <v>&lt;tr&gt;&lt;td&gt;6日(火)&lt;/td&gt;&lt;td&gt; 柘榴&lt;/td&gt;&lt;/tr&gt;</v>
      </c>
    </row>
    <row r="8" spans="1:16" ht="18" x14ac:dyDescent="0.2">
      <c r="A8" s="8" t="s">
        <v>155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>7日(水)</v>
      </c>
      <c r="F8" s="2">
        <v>5</v>
      </c>
      <c r="G8" s="2">
        <v>1</v>
      </c>
      <c r="H8" s="2" t="s">
        <v>37</v>
      </c>
      <c r="I8" s="2" t="str">
        <f t="shared" si="4"/>
        <v>7日(水)&lt;/td&gt;&lt;td&gt;</v>
      </c>
      <c r="J8" s="2">
        <v>4</v>
      </c>
      <c r="K8" s="2">
        <v>1</v>
      </c>
      <c r="L8" s="2" t="s">
        <v>37</v>
      </c>
      <c r="M8" s="2" t="str">
        <f t="shared" si="5"/>
        <v>水</v>
      </c>
      <c r="O8" s="2" t="str">
        <f t="shared" si="0"/>
        <v>&lt;tr&gt;&lt;td&gt;7日(水)&lt;/td&gt;&lt;td&gt;</v>
      </c>
      <c r="P8" t="str">
        <f t="shared" si="1"/>
        <v>&lt;tr&gt;&lt;td&gt;7日(水)&lt;/td&gt;&lt;td&gt;&lt;/td&gt;&lt;/tr&gt;</v>
      </c>
    </row>
    <row r="9" spans="1:16" ht="18" x14ac:dyDescent="0.2">
      <c r="A9" s="8" t="s">
        <v>156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>8日(木)</v>
      </c>
      <c r="F9" s="2">
        <v>5</v>
      </c>
      <c r="G9" s="2">
        <v>1</v>
      </c>
      <c r="H9" s="2" t="s">
        <v>37</v>
      </c>
      <c r="I9" s="2" t="str">
        <f t="shared" si="4"/>
        <v>8日(木)&lt;/td&gt;&lt;td&gt;</v>
      </c>
      <c r="J9" s="2">
        <v>4</v>
      </c>
      <c r="K9" s="2">
        <v>1</v>
      </c>
      <c r="L9" s="2" t="s">
        <v>37</v>
      </c>
      <c r="M9" s="2" t="str">
        <f t="shared" si="5"/>
        <v>木</v>
      </c>
      <c r="O9" s="2" t="str">
        <f t="shared" si="0"/>
        <v>&lt;tr&gt;&lt;td&gt;8日(木)&lt;/td&gt;&lt;td&gt;</v>
      </c>
      <c r="P9" t="str">
        <f t="shared" si="1"/>
        <v>&lt;tr&gt;&lt;td&gt;8日(木)&lt;/td&gt;&lt;td&gt;&lt;/td&gt;&lt;/tr&gt;</v>
      </c>
    </row>
    <row r="10" spans="1:16" ht="18" x14ac:dyDescent="0.2">
      <c r="A10" s="8" t="s">
        <v>157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>9日(金) 柘榴</v>
      </c>
      <c r="F10" s="2">
        <v>5</v>
      </c>
      <c r="G10" s="2">
        <v>1</v>
      </c>
      <c r="H10" s="2" t="s">
        <v>37</v>
      </c>
      <c r="I10" s="2" t="str">
        <f t="shared" si="4"/>
        <v>9日(金)&lt;/td&gt;&lt;td&gt; 柘榴</v>
      </c>
      <c r="J10" s="2">
        <v>4</v>
      </c>
      <c r="K10" s="2">
        <v>1</v>
      </c>
      <c r="L10" s="2" t="s">
        <v>37</v>
      </c>
      <c r="M10" s="2" t="str">
        <f t="shared" si="5"/>
        <v>金</v>
      </c>
      <c r="O10" s="2" t="str">
        <f t="shared" si="0"/>
        <v>&lt;tr&gt;&lt;td&gt;9日(金)&lt;/td&gt;&lt;td&gt; 柘榴</v>
      </c>
      <c r="P10" t="str">
        <f t="shared" si="1"/>
        <v>&lt;tr&gt;&lt;td&gt;9日(金)&lt;/td&gt;&lt;td&gt; 柘榴&lt;/td&gt;&lt;/tr&gt;</v>
      </c>
    </row>
    <row r="11" spans="1:16" ht="18" x14ac:dyDescent="0.2">
      <c r="A11" s="8" t="s">
        <v>158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10日(土) 美咲, イリヤ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美咲, イリヤ</v>
      </c>
      <c r="J11" s="2">
        <v>5</v>
      </c>
      <c r="K11" s="2">
        <v>1</v>
      </c>
      <c r="L11" s="2" t="s">
        <v>37</v>
      </c>
      <c r="M11" s="2" t="str">
        <f t="shared" si="5"/>
        <v>土</v>
      </c>
      <c r="O11" s="2" t="str">
        <f t="shared" si="0"/>
        <v>&lt;tr class='weekend'&gt;&lt;td&gt;10日(土)&lt;/td&gt;&lt;td&gt; 美咲, イリヤ</v>
      </c>
      <c r="P11" t="str">
        <f t="shared" si="1"/>
        <v>&lt;tr class='weekend'&gt;&lt;td&gt;10日(土)&lt;/td&gt;&lt;td&gt; 美咲, イリヤ&lt;/td&gt;&lt;/tr&gt;</v>
      </c>
    </row>
    <row r="12" spans="1:16" ht="18" x14ac:dyDescent="0.2">
      <c r="A12" s="8" t="s">
        <v>159</v>
      </c>
      <c r="B12" s="2">
        <v>1</v>
      </c>
      <c r="C12" s="2">
        <v>5</v>
      </c>
      <c r="D12" s="2" t="str">
        <f t="shared" ref="D12:D32" si="6">MID(A12, 4, 2)&amp;"日"</f>
        <v>11日</v>
      </c>
      <c r="E12" s="2" t="str">
        <f t="shared" si="3"/>
        <v>11日(日)</v>
      </c>
      <c r="F12" s="2">
        <v>6</v>
      </c>
      <c r="G12" s="2">
        <v>1</v>
      </c>
      <c r="H12" s="2" t="s">
        <v>37</v>
      </c>
      <c r="I12" s="2" t="str">
        <f t="shared" ref="I12:I32" si="7">REPLACE(E12,F12,G12,H12)</f>
        <v>11日(日)&lt;/td&gt;&lt;td&gt;</v>
      </c>
      <c r="J12" s="2">
        <v>5</v>
      </c>
      <c r="K12" s="2">
        <v>1</v>
      </c>
      <c r="L12" s="2" t="s">
        <v>37</v>
      </c>
      <c r="M12" s="2" t="str">
        <f t="shared" si="5"/>
        <v>日</v>
      </c>
      <c r="O12" s="2" t="str">
        <f>IF(OR(M12="土", M12="日"), "&lt;tr class='weekend'&gt;&lt;td&gt;"&amp;I12, "&lt;tr&gt;&lt;td&gt;"&amp;I12)</f>
        <v>&lt;tr class='weekend'&gt;&lt;td&gt;11日(日)&lt;/td&gt;&lt;td&gt;</v>
      </c>
      <c r="P12" t="str">
        <f>IF(M12="日", O12&amp;"&lt;span class='event_font'&gt;&amp;nbsp&amp;nbspセット料金半額DAY!&lt;/span&gt;&lt;/td&gt;&lt;/tr&gt;",O12&amp;"&lt;/td&gt;&lt;/tr&gt;")</f>
        <v>&lt;tr class='weekend'&gt;&lt;td&gt;11日(日)&lt;/td&gt;&lt;td&gt;&lt;span class='event_font'&gt;&amp;nbsp&amp;nbspセット料金半額DAY!&lt;/span&gt;&lt;/td&gt;&lt;/tr&gt;</v>
      </c>
    </row>
    <row r="13" spans="1:16" ht="18" x14ac:dyDescent="0.2">
      <c r="A13" s="8" t="s">
        <v>160</v>
      </c>
      <c r="B13" s="2">
        <v>1</v>
      </c>
      <c r="C13" s="2">
        <v>5</v>
      </c>
      <c r="D13" s="2" t="str">
        <f t="shared" si="6"/>
        <v>12日</v>
      </c>
      <c r="E13" s="2" t="str">
        <f t="shared" si="3"/>
        <v>12日(月)</v>
      </c>
      <c r="F13" s="2">
        <v>6</v>
      </c>
      <c r="G13" s="2">
        <v>1</v>
      </c>
      <c r="H13" s="2" t="s">
        <v>37</v>
      </c>
      <c r="I13" s="2" t="str">
        <f t="shared" si="7"/>
        <v>12日(月)&lt;/td&gt;&lt;td&gt;</v>
      </c>
      <c r="J13" s="2">
        <v>5</v>
      </c>
      <c r="K13" s="2">
        <v>1</v>
      </c>
      <c r="L13" s="2" t="s">
        <v>37</v>
      </c>
      <c r="M13" s="2" t="str">
        <f t="shared" si="5"/>
        <v>月</v>
      </c>
      <c r="O13" s="2" t="str">
        <f t="shared" ref="O13:O32" si="8">IF(OR(M13="土", M13="日"), "&lt;tr class='weekend'&gt;&lt;td&gt;"&amp;I13, "&lt;tr&gt;&lt;td&gt;"&amp;I13)</f>
        <v>&lt;tr&gt;&lt;td&gt;12日(月)&lt;/td&gt;&lt;td&gt;</v>
      </c>
      <c r="P13" t="str">
        <f t="shared" ref="P13:P32" si="9">IF(M13="日", O13&amp;"&lt;span class='event_font'&gt;&amp;nbsp&amp;nbspセット料金半額DAY!&lt;/span&gt;&lt;/td&gt;&lt;/tr&gt;",O13&amp;"&lt;/td&gt;&lt;/tr&gt;")</f>
        <v>&lt;tr&gt;&lt;td&gt;12日(月)&lt;/td&gt;&lt;td&gt;&lt;/td&gt;&lt;/tr&gt;</v>
      </c>
    </row>
    <row r="14" spans="1:16" ht="18" x14ac:dyDescent="0.2">
      <c r="A14" s="8" t="s">
        <v>161</v>
      </c>
      <c r="B14" s="2">
        <v>1</v>
      </c>
      <c r="C14" s="2">
        <v>5</v>
      </c>
      <c r="D14" s="2" t="str">
        <f t="shared" si="6"/>
        <v>13日</v>
      </c>
      <c r="E14" s="2" t="str">
        <f t="shared" si="3"/>
        <v>13日(火) 柘榴</v>
      </c>
      <c r="F14" s="2">
        <v>6</v>
      </c>
      <c r="G14" s="2">
        <v>1</v>
      </c>
      <c r="H14" s="2" t="s">
        <v>37</v>
      </c>
      <c r="I14" s="2" t="str">
        <f t="shared" si="7"/>
        <v>13日(火)&lt;/td&gt;&lt;td&gt; 柘榴</v>
      </c>
      <c r="J14" s="2">
        <v>5</v>
      </c>
      <c r="K14" s="2">
        <v>1</v>
      </c>
      <c r="L14" s="2" t="s">
        <v>37</v>
      </c>
      <c r="M14" s="2" t="str">
        <f t="shared" si="5"/>
        <v>火</v>
      </c>
      <c r="O14" s="2" t="str">
        <f t="shared" si="8"/>
        <v>&lt;tr&gt;&lt;td&gt;13日(火)&lt;/td&gt;&lt;td&gt; 柘榴</v>
      </c>
      <c r="P14" t="str">
        <f t="shared" si="9"/>
        <v>&lt;tr&gt;&lt;td&gt;13日(火)&lt;/td&gt;&lt;td&gt; 柘榴&lt;/td&gt;&lt;/tr&gt;</v>
      </c>
    </row>
    <row r="15" spans="1:16" ht="18" x14ac:dyDescent="0.2">
      <c r="A15" s="8" t="s">
        <v>162</v>
      </c>
      <c r="B15" s="2">
        <v>1</v>
      </c>
      <c r="C15" s="2">
        <v>5</v>
      </c>
      <c r="D15" s="2" t="str">
        <f t="shared" si="6"/>
        <v>14日</v>
      </c>
      <c r="E15" s="2" t="str">
        <f t="shared" si="3"/>
        <v>14日(水)</v>
      </c>
      <c r="F15" s="2">
        <v>6</v>
      </c>
      <c r="G15" s="2">
        <v>1</v>
      </c>
      <c r="H15" s="2" t="s">
        <v>37</v>
      </c>
      <c r="I15" s="2" t="str">
        <f t="shared" si="7"/>
        <v>14日(水)&lt;/td&gt;&lt;td&gt;</v>
      </c>
      <c r="J15" s="2">
        <v>5</v>
      </c>
      <c r="K15" s="2">
        <v>1</v>
      </c>
      <c r="L15" s="2" t="s">
        <v>37</v>
      </c>
      <c r="M15" s="2" t="str">
        <f t="shared" si="5"/>
        <v>水</v>
      </c>
      <c r="O15" s="2" t="str">
        <f t="shared" si="8"/>
        <v>&lt;tr&gt;&lt;td&gt;14日(水)&lt;/td&gt;&lt;td&gt;</v>
      </c>
      <c r="P15" t="str">
        <f t="shared" si="9"/>
        <v>&lt;tr&gt;&lt;td&gt;14日(水)&lt;/td&gt;&lt;td&gt;&lt;/td&gt;&lt;/tr&gt;</v>
      </c>
    </row>
    <row r="16" spans="1:16" ht="18" x14ac:dyDescent="0.2">
      <c r="A16" s="8" t="s">
        <v>163</v>
      </c>
      <c r="B16" s="2">
        <v>1</v>
      </c>
      <c r="C16" s="2">
        <v>5</v>
      </c>
      <c r="D16" s="2" t="str">
        <f t="shared" si="6"/>
        <v>15日</v>
      </c>
      <c r="E16" s="2" t="str">
        <f t="shared" si="3"/>
        <v>15日(木)</v>
      </c>
      <c r="F16" s="2">
        <v>6</v>
      </c>
      <c r="G16" s="2">
        <v>1</v>
      </c>
      <c r="H16" s="2" t="s">
        <v>37</v>
      </c>
      <c r="I16" s="2" t="str">
        <f t="shared" si="7"/>
        <v>15日(木)&lt;/td&gt;&lt;td&gt;</v>
      </c>
      <c r="J16" s="2">
        <v>5</v>
      </c>
      <c r="K16" s="2">
        <v>1</v>
      </c>
      <c r="L16" s="2" t="s">
        <v>37</v>
      </c>
      <c r="M16" s="2" t="str">
        <f t="shared" si="5"/>
        <v>木</v>
      </c>
      <c r="O16" s="2" t="str">
        <f t="shared" si="8"/>
        <v>&lt;tr&gt;&lt;td&gt;15日(木)&lt;/td&gt;&lt;td&gt;</v>
      </c>
      <c r="P16" t="str">
        <f t="shared" si="9"/>
        <v>&lt;tr&gt;&lt;td&gt;15日(木)&lt;/td&gt;&lt;td&gt;&lt;/td&gt;&lt;/tr&gt;</v>
      </c>
    </row>
    <row r="17" spans="1:16" ht="18" x14ac:dyDescent="0.2">
      <c r="A17" s="8" t="s">
        <v>164</v>
      </c>
      <c r="B17" s="2">
        <v>1</v>
      </c>
      <c r="C17" s="2">
        <v>5</v>
      </c>
      <c r="D17" s="2" t="str">
        <f t="shared" si="6"/>
        <v>16日</v>
      </c>
      <c r="E17" s="2" t="str">
        <f t="shared" si="3"/>
        <v>16日(金) 密</v>
      </c>
      <c r="F17" s="2">
        <v>6</v>
      </c>
      <c r="G17" s="2">
        <v>1</v>
      </c>
      <c r="H17" s="2" t="s">
        <v>37</v>
      </c>
      <c r="I17" s="2" t="str">
        <f t="shared" si="7"/>
        <v>16日(金)&lt;/td&gt;&lt;td&gt; 密</v>
      </c>
      <c r="J17" s="2">
        <v>5</v>
      </c>
      <c r="K17" s="2">
        <v>1</v>
      </c>
      <c r="L17" s="2" t="s">
        <v>37</v>
      </c>
      <c r="M17" s="2" t="str">
        <f t="shared" si="5"/>
        <v>金</v>
      </c>
      <c r="O17" s="2" t="str">
        <f t="shared" si="8"/>
        <v>&lt;tr&gt;&lt;td&gt;16日(金)&lt;/td&gt;&lt;td&gt; 密</v>
      </c>
      <c r="P17" t="str">
        <f t="shared" si="9"/>
        <v>&lt;tr&gt;&lt;td&gt;16日(金)&lt;/td&gt;&lt;td&gt; 密&lt;/td&gt;&lt;/tr&gt;</v>
      </c>
    </row>
    <row r="18" spans="1:16" ht="18" x14ac:dyDescent="0.2">
      <c r="A18" s="8" t="s">
        <v>165</v>
      </c>
      <c r="B18" s="2">
        <v>1</v>
      </c>
      <c r="C18" s="2">
        <v>5</v>
      </c>
      <c r="D18" s="2" t="str">
        <f t="shared" si="6"/>
        <v>17日</v>
      </c>
      <c r="E18" s="2" t="str">
        <f t="shared" si="3"/>
        <v>17日(土) 美咲, 柘榴</v>
      </c>
      <c r="F18" s="2">
        <v>6</v>
      </c>
      <c r="G18" s="2">
        <v>1</v>
      </c>
      <c r="H18" s="2" t="s">
        <v>37</v>
      </c>
      <c r="I18" s="2" t="str">
        <f t="shared" si="7"/>
        <v>17日(土)&lt;/td&gt;&lt;td&gt; 美咲, 柘榴</v>
      </c>
      <c r="J18" s="2">
        <v>5</v>
      </c>
      <c r="K18" s="2">
        <v>1</v>
      </c>
      <c r="L18" s="2" t="s">
        <v>37</v>
      </c>
      <c r="M18" s="2" t="str">
        <f t="shared" si="5"/>
        <v>土</v>
      </c>
      <c r="O18" s="2" t="str">
        <f t="shared" si="8"/>
        <v>&lt;tr class='weekend'&gt;&lt;td&gt;17日(土)&lt;/td&gt;&lt;td&gt; 美咲, 柘榴</v>
      </c>
      <c r="P18" t="str">
        <f t="shared" si="9"/>
        <v>&lt;tr class='weekend'&gt;&lt;td&gt;17日(土)&lt;/td&gt;&lt;td&gt; 美咲, 柘榴&lt;/td&gt;&lt;/tr&gt;</v>
      </c>
    </row>
    <row r="19" spans="1:16" ht="18" x14ac:dyDescent="0.2">
      <c r="A19" s="8" t="s">
        <v>166</v>
      </c>
      <c r="B19" s="2">
        <v>1</v>
      </c>
      <c r="C19" s="2">
        <v>5</v>
      </c>
      <c r="D19" s="2" t="str">
        <f t="shared" si="6"/>
        <v>18日</v>
      </c>
      <c r="E19" s="2" t="str">
        <f t="shared" si="3"/>
        <v>18日(日) 柘榴</v>
      </c>
      <c r="F19" s="2">
        <v>6</v>
      </c>
      <c r="G19" s="2">
        <v>1</v>
      </c>
      <c r="H19" s="2" t="s">
        <v>37</v>
      </c>
      <c r="I19" s="2" t="str">
        <f t="shared" si="7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5"/>
        <v>日</v>
      </c>
      <c r="O19" s="2" t="str">
        <f t="shared" si="8"/>
        <v>&lt;tr class='weekend'&gt;&lt;td&gt;18日(日)&lt;/td&gt;&lt;td&gt; 柘榴</v>
      </c>
      <c r="P19" t="str">
        <f t="shared" si="9"/>
        <v>&lt;tr class='weekend'&gt;&lt;td&gt;18日(日)&lt;/td&gt;&lt;td&gt; 柘榴&lt;span class='event_font'&gt;&amp;nbsp&amp;nbspセット料金半額DAY!&lt;/span&gt;&lt;/td&gt;&lt;/tr&gt;</v>
      </c>
    </row>
    <row r="20" spans="1:16" ht="18" x14ac:dyDescent="0.2">
      <c r="A20" s="8" t="s">
        <v>167</v>
      </c>
      <c r="B20" s="2">
        <v>1</v>
      </c>
      <c r="C20" s="2">
        <v>5</v>
      </c>
      <c r="D20" s="2" t="str">
        <f t="shared" si="6"/>
        <v>19日</v>
      </c>
      <c r="E20" s="2" t="str">
        <f t="shared" si="3"/>
        <v>19日(月)</v>
      </c>
      <c r="F20" s="2">
        <v>6</v>
      </c>
      <c r="G20" s="2">
        <v>1</v>
      </c>
      <c r="H20" s="2" t="s">
        <v>37</v>
      </c>
      <c r="I20" s="2" t="str">
        <f t="shared" si="7"/>
        <v>19日(月)&lt;/td&gt;&lt;td&gt;</v>
      </c>
      <c r="J20" s="2">
        <v>5</v>
      </c>
      <c r="K20" s="2">
        <v>1</v>
      </c>
      <c r="L20" s="2" t="s">
        <v>37</v>
      </c>
      <c r="M20" s="2" t="str">
        <f t="shared" si="5"/>
        <v>月</v>
      </c>
      <c r="O20" s="2" t="str">
        <f t="shared" si="8"/>
        <v>&lt;tr&gt;&lt;td&gt;19日(月)&lt;/td&gt;&lt;td&gt;</v>
      </c>
      <c r="P20" t="str">
        <f t="shared" si="9"/>
        <v>&lt;tr&gt;&lt;td&gt;19日(月)&lt;/td&gt;&lt;td&gt;&lt;/td&gt;&lt;/tr&gt;</v>
      </c>
    </row>
    <row r="21" spans="1:16" ht="18" x14ac:dyDescent="0.2">
      <c r="A21" s="8" t="s">
        <v>168</v>
      </c>
      <c r="B21" s="2">
        <v>1</v>
      </c>
      <c r="C21" s="2">
        <v>5</v>
      </c>
      <c r="D21" s="2" t="str">
        <f t="shared" si="6"/>
        <v>20日</v>
      </c>
      <c r="E21" s="2" t="str">
        <f t="shared" si="3"/>
        <v>20日(火) 柘榴</v>
      </c>
      <c r="F21" s="2">
        <v>6</v>
      </c>
      <c r="G21" s="2">
        <v>1</v>
      </c>
      <c r="H21" s="2" t="s">
        <v>37</v>
      </c>
      <c r="I21" s="2" t="str">
        <f t="shared" si="7"/>
        <v>20日(火)&lt;/td&gt;&lt;td&gt; 柘榴</v>
      </c>
      <c r="J21" s="2">
        <v>5</v>
      </c>
      <c r="K21" s="2">
        <v>1</v>
      </c>
      <c r="L21" s="2" t="s">
        <v>37</v>
      </c>
      <c r="M21" s="2" t="str">
        <f t="shared" si="5"/>
        <v>火</v>
      </c>
      <c r="O21" s="2" t="str">
        <f t="shared" si="8"/>
        <v>&lt;tr&gt;&lt;td&gt;20日(火)&lt;/td&gt;&lt;td&gt; 柘榴</v>
      </c>
      <c r="P21" t="str">
        <f t="shared" si="9"/>
        <v>&lt;tr&gt;&lt;td&gt;20日(火)&lt;/td&gt;&lt;td&gt; 柘榴&lt;/td&gt;&lt;/tr&gt;</v>
      </c>
    </row>
    <row r="22" spans="1:16" ht="18" x14ac:dyDescent="0.2">
      <c r="A22" s="8" t="s">
        <v>169</v>
      </c>
      <c r="B22" s="2">
        <v>1</v>
      </c>
      <c r="C22" s="2">
        <v>5</v>
      </c>
      <c r="D22" s="2" t="str">
        <f t="shared" si="6"/>
        <v>21日</v>
      </c>
      <c r="E22" s="2" t="str">
        <f t="shared" si="3"/>
        <v>21日(水)</v>
      </c>
      <c r="F22" s="2">
        <v>6</v>
      </c>
      <c r="G22" s="2">
        <v>1</v>
      </c>
      <c r="H22" s="2" t="s">
        <v>37</v>
      </c>
      <c r="I22" s="2" t="str">
        <f t="shared" si="7"/>
        <v>21日(水)&lt;/td&gt;&lt;td&gt;</v>
      </c>
      <c r="J22" s="2">
        <v>5</v>
      </c>
      <c r="K22" s="2">
        <v>1</v>
      </c>
      <c r="L22" s="2" t="s">
        <v>37</v>
      </c>
      <c r="M22" s="2" t="str">
        <f t="shared" si="5"/>
        <v>水</v>
      </c>
      <c r="O22" s="2" t="str">
        <f t="shared" si="8"/>
        <v>&lt;tr&gt;&lt;td&gt;21日(水)&lt;/td&gt;&lt;td&gt;</v>
      </c>
      <c r="P22" t="str">
        <f t="shared" si="9"/>
        <v>&lt;tr&gt;&lt;td&gt;21日(水)&lt;/td&gt;&lt;td&gt;&lt;/td&gt;&lt;/tr&gt;</v>
      </c>
    </row>
    <row r="23" spans="1:16" ht="18" x14ac:dyDescent="0.2">
      <c r="A23" s="8" t="s">
        <v>170</v>
      </c>
      <c r="B23" s="2">
        <v>1</v>
      </c>
      <c r="C23" s="2">
        <v>5</v>
      </c>
      <c r="D23" s="2" t="str">
        <f t="shared" si="6"/>
        <v>22日</v>
      </c>
      <c r="E23" s="2" t="str">
        <f t="shared" si="3"/>
        <v>22日(木)</v>
      </c>
      <c r="F23" s="2">
        <v>6</v>
      </c>
      <c r="G23" s="2">
        <v>1</v>
      </c>
      <c r="H23" s="2" t="s">
        <v>37</v>
      </c>
      <c r="I23" s="2" t="str">
        <f t="shared" si="7"/>
        <v>22日(木)&lt;/td&gt;&lt;td&gt;</v>
      </c>
      <c r="J23" s="2">
        <v>5</v>
      </c>
      <c r="K23" s="2">
        <v>1</v>
      </c>
      <c r="L23" s="2" t="s">
        <v>37</v>
      </c>
      <c r="M23" s="2" t="str">
        <f t="shared" si="5"/>
        <v>木</v>
      </c>
      <c r="O23" s="2" t="str">
        <f t="shared" si="8"/>
        <v>&lt;tr&gt;&lt;td&gt;22日(木)&lt;/td&gt;&lt;td&gt;</v>
      </c>
      <c r="P23" t="str">
        <f t="shared" si="9"/>
        <v>&lt;tr&gt;&lt;td&gt;22日(木)&lt;/td&gt;&lt;td&gt;&lt;/td&gt;&lt;/tr&gt;</v>
      </c>
    </row>
    <row r="24" spans="1:16" ht="18" x14ac:dyDescent="0.2">
      <c r="A24" s="8" t="s">
        <v>171</v>
      </c>
      <c r="B24" s="2">
        <v>1</v>
      </c>
      <c r="C24" s="2">
        <v>5</v>
      </c>
      <c r="D24" s="2" t="str">
        <f t="shared" si="6"/>
        <v>23日</v>
      </c>
      <c r="E24" s="2" t="str">
        <f t="shared" si="3"/>
        <v>23日(金) 密</v>
      </c>
      <c r="F24" s="2">
        <v>6</v>
      </c>
      <c r="G24" s="2">
        <v>1</v>
      </c>
      <c r="H24" s="2" t="s">
        <v>37</v>
      </c>
      <c r="I24" s="2" t="str">
        <f t="shared" si="7"/>
        <v>23日(金)&lt;/td&gt;&lt;td&gt; 密</v>
      </c>
      <c r="J24" s="2">
        <v>5</v>
      </c>
      <c r="K24" s="2">
        <v>1</v>
      </c>
      <c r="L24" s="2" t="s">
        <v>37</v>
      </c>
      <c r="M24" s="2" t="str">
        <f t="shared" si="5"/>
        <v>金</v>
      </c>
      <c r="O24" s="2" t="str">
        <f t="shared" si="8"/>
        <v>&lt;tr&gt;&lt;td&gt;23日(金)&lt;/td&gt;&lt;td&gt; 密</v>
      </c>
      <c r="P24" t="str">
        <f t="shared" si="9"/>
        <v>&lt;tr&gt;&lt;td&gt;23日(金)&lt;/td&gt;&lt;td&gt; 密&lt;/td&gt;&lt;/tr&gt;</v>
      </c>
    </row>
    <row r="25" spans="1:16" ht="18" x14ac:dyDescent="0.2">
      <c r="A25" s="8" t="s">
        <v>172</v>
      </c>
      <c r="B25" s="2">
        <v>1</v>
      </c>
      <c r="C25" s="2">
        <v>5</v>
      </c>
      <c r="D25" s="2" t="str">
        <f t="shared" si="6"/>
        <v>24日</v>
      </c>
      <c r="E25" s="2" t="str">
        <f t="shared" si="3"/>
        <v>24日(土) イリヤ</v>
      </c>
      <c r="F25" s="2">
        <v>6</v>
      </c>
      <c r="G25" s="2">
        <v>1</v>
      </c>
      <c r="H25" s="2" t="s">
        <v>37</v>
      </c>
      <c r="I25" s="2" t="str">
        <f t="shared" si="7"/>
        <v>24日(土)&lt;/td&gt;&lt;td&gt; イリヤ</v>
      </c>
      <c r="J25" s="2">
        <v>5</v>
      </c>
      <c r="K25" s="2">
        <v>1</v>
      </c>
      <c r="L25" s="2" t="s">
        <v>37</v>
      </c>
      <c r="M25" s="2" t="str">
        <f t="shared" si="5"/>
        <v>土</v>
      </c>
      <c r="O25" s="2" t="str">
        <f t="shared" si="8"/>
        <v>&lt;tr class='weekend'&gt;&lt;td&gt;24日(土)&lt;/td&gt;&lt;td&gt; イリヤ</v>
      </c>
      <c r="P25" t="str">
        <f t="shared" si="9"/>
        <v>&lt;tr class='weekend'&gt;&lt;td&gt;24日(土)&lt;/td&gt;&lt;td&gt; イリヤ&lt;/td&gt;&lt;/tr&gt;</v>
      </c>
    </row>
    <row r="26" spans="1:16" ht="18" x14ac:dyDescent="0.2">
      <c r="A26" s="8" t="s">
        <v>173</v>
      </c>
      <c r="B26" s="2">
        <v>1</v>
      </c>
      <c r="C26" s="2">
        <v>5</v>
      </c>
      <c r="D26" s="2" t="str">
        <f t="shared" si="6"/>
        <v>25日</v>
      </c>
      <c r="E26" s="2" t="str">
        <f t="shared" si="3"/>
        <v>25日(日)</v>
      </c>
      <c r="F26" s="2">
        <v>6</v>
      </c>
      <c r="G26" s="2">
        <v>1</v>
      </c>
      <c r="H26" s="2" t="s">
        <v>37</v>
      </c>
      <c r="I26" s="2" t="str">
        <f t="shared" si="7"/>
        <v>25日(日)&lt;/td&gt;&lt;td&gt;</v>
      </c>
      <c r="J26" s="2">
        <v>5</v>
      </c>
      <c r="K26" s="2">
        <v>1</v>
      </c>
      <c r="L26" s="2" t="s">
        <v>37</v>
      </c>
      <c r="M26" s="2" t="str">
        <f t="shared" si="5"/>
        <v>日</v>
      </c>
      <c r="O26" s="2" t="str">
        <f t="shared" si="8"/>
        <v>&lt;tr class='weekend'&gt;&lt;td&gt;25日(日)&lt;/td&gt;&lt;td&gt;</v>
      </c>
      <c r="P26" t="str">
        <f t="shared" si="9"/>
        <v>&lt;tr class='weekend'&gt;&lt;td&gt;25日(日)&lt;/td&gt;&lt;td&gt;&lt;span class='event_font'&gt;&amp;nbsp&amp;nbspセット料金半額DAY!&lt;/span&gt;&lt;/td&gt;&lt;/tr&gt;</v>
      </c>
    </row>
    <row r="27" spans="1:16" ht="18" x14ac:dyDescent="0.2">
      <c r="A27" s="8" t="s">
        <v>174</v>
      </c>
      <c r="B27" s="2">
        <v>1</v>
      </c>
      <c r="C27" s="2">
        <v>5</v>
      </c>
      <c r="D27" s="2" t="str">
        <f t="shared" si="6"/>
        <v>26日</v>
      </c>
      <c r="E27" s="2" t="str">
        <f t="shared" si="3"/>
        <v>26日(月)</v>
      </c>
      <c r="F27" s="2">
        <v>6</v>
      </c>
      <c r="G27" s="2">
        <v>1</v>
      </c>
      <c r="H27" s="2" t="s">
        <v>37</v>
      </c>
      <c r="I27" s="2" t="str">
        <f t="shared" si="7"/>
        <v>26日(月)&lt;/td&gt;&lt;td&gt;</v>
      </c>
      <c r="J27" s="2">
        <v>5</v>
      </c>
      <c r="K27" s="2">
        <v>1</v>
      </c>
      <c r="L27" s="2" t="s">
        <v>37</v>
      </c>
      <c r="M27" s="2" t="str">
        <f t="shared" si="5"/>
        <v>月</v>
      </c>
      <c r="O27" s="2" t="str">
        <f t="shared" si="8"/>
        <v>&lt;tr&gt;&lt;td&gt;26日(月)&lt;/td&gt;&lt;td&gt;</v>
      </c>
      <c r="P27" t="str">
        <f t="shared" si="9"/>
        <v>&lt;tr&gt;&lt;td&gt;26日(月)&lt;/td&gt;&lt;td&gt;&lt;/td&gt;&lt;/tr&gt;</v>
      </c>
    </row>
    <row r="28" spans="1:16" ht="18" x14ac:dyDescent="0.2">
      <c r="A28" s="8" t="s">
        <v>175</v>
      </c>
      <c r="B28" s="2">
        <v>1</v>
      </c>
      <c r="C28" s="2">
        <v>5</v>
      </c>
      <c r="D28" s="2" t="str">
        <f t="shared" si="6"/>
        <v>27日</v>
      </c>
      <c r="E28" s="2" t="str">
        <f t="shared" si="3"/>
        <v>27日(火) 柘榴</v>
      </c>
      <c r="F28" s="2">
        <v>6</v>
      </c>
      <c r="G28" s="2">
        <v>1</v>
      </c>
      <c r="H28" s="2" t="s">
        <v>37</v>
      </c>
      <c r="I28" s="2" t="str">
        <f t="shared" si="7"/>
        <v>27日(火)&lt;/td&gt;&lt;td&gt; 柘榴</v>
      </c>
      <c r="J28" s="2">
        <v>5</v>
      </c>
      <c r="K28" s="2">
        <v>1</v>
      </c>
      <c r="L28" s="2" t="s">
        <v>37</v>
      </c>
      <c r="M28" s="2" t="str">
        <f t="shared" si="5"/>
        <v>火</v>
      </c>
      <c r="O28" s="2" t="str">
        <f t="shared" si="8"/>
        <v>&lt;tr&gt;&lt;td&gt;27日(火)&lt;/td&gt;&lt;td&gt; 柘榴</v>
      </c>
      <c r="P28" t="str">
        <f t="shared" si="9"/>
        <v>&lt;tr&gt;&lt;td&gt;27日(火)&lt;/td&gt;&lt;td&gt; 柘榴&lt;/td&gt;&lt;/tr&gt;</v>
      </c>
    </row>
    <row r="29" spans="1:16" ht="18" x14ac:dyDescent="0.2">
      <c r="A29" s="8" t="s">
        <v>176</v>
      </c>
      <c r="B29" s="2">
        <v>1</v>
      </c>
      <c r="C29" s="2">
        <v>5</v>
      </c>
      <c r="D29" s="2" t="str">
        <f t="shared" si="6"/>
        <v>28日</v>
      </c>
      <c r="E29" s="2" t="str">
        <f t="shared" si="3"/>
        <v>28日(水)</v>
      </c>
      <c r="F29" s="2">
        <v>6</v>
      </c>
      <c r="G29" s="2">
        <v>1</v>
      </c>
      <c r="H29" s="2" t="s">
        <v>37</v>
      </c>
      <c r="I29" s="2" t="str">
        <f t="shared" si="7"/>
        <v>28日(水)&lt;/td&gt;&lt;td&gt;</v>
      </c>
      <c r="J29" s="2">
        <v>5</v>
      </c>
      <c r="K29" s="2">
        <v>1</v>
      </c>
      <c r="L29" s="2" t="s">
        <v>37</v>
      </c>
      <c r="M29" s="2" t="str">
        <f t="shared" si="5"/>
        <v>水</v>
      </c>
      <c r="O29" s="2" t="str">
        <f t="shared" si="8"/>
        <v>&lt;tr&gt;&lt;td&gt;28日(水)&lt;/td&gt;&lt;td&gt;</v>
      </c>
      <c r="P29" t="str">
        <f t="shared" si="9"/>
        <v>&lt;tr&gt;&lt;td&gt;28日(水)&lt;/td&gt;&lt;td&gt;&lt;/td&gt;&lt;/tr&gt;</v>
      </c>
    </row>
    <row r="30" spans="1:16" ht="18" x14ac:dyDescent="0.2">
      <c r="A30" s="8" t="s">
        <v>177</v>
      </c>
      <c r="B30" s="2">
        <v>1</v>
      </c>
      <c r="C30" s="2">
        <v>5</v>
      </c>
      <c r="D30" s="2" t="str">
        <f t="shared" si="6"/>
        <v>29日</v>
      </c>
      <c r="E30" s="2" t="str">
        <f t="shared" si="3"/>
        <v>29日(木) 柘榴</v>
      </c>
      <c r="F30" s="2">
        <v>6</v>
      </c>
      <c r="G30" s="2">
        <v>1</v>
      </c>
      <c r="H30" s="2" t="s">
        <v>37</v>
      </c>
      <c r="I30" s="2" t="str">
        <f t="shared" si="7"/>
        <v>29日(木)&lt;/td&gt;&lt;td&gt; 柘榴</v>
      </c>
      <c r="J30" s="2">
        <v>5</v>
      </c>
      <c r="K30" s="2">
        <v>1</v>
      </c>
      <c r="L30" s="2" t="s">
        <v>37</v>
      </c>
      <c r="M30" s="2" t="str">
        <f t="shared" si="5"/>
        <v>木</v>
      </c>
      <c r="O30" s="2" t="str">
        <f t="shared" si="8"/>
        <v>&lt;tr&gt;&lt;td&gt;29日(木)&lt;/td&gt;&lt;td&gt; 柘榴</v>
      </c>
      <c r="P30" t="str">
        <f t="shared" si="9"/>
        <v>&lt;tr&gt;&lt;td&gt;29日(木)&lt;/td&gt;&lt;td&gt; 柘榴&lt;/td&gt;&lt;/tr&gt;</v>
      </c>
    </row>
    <row r="31" spans="1:16" ht="18" x14ac:dyDescent="0.2">
      <c r="A31" s="8" t="s">
        <v>178</v>
      </c>
      <c r="B31" s="2">
        <v>1</v>
      </c>
      <c r="C31" s="2">
        <v>5</v>
      </c>
      <c r="D31" s="2" t="str">
        <f t="shared" si="6"/>
        <v>30日</v>
      </c>
      <c r="E31" s="2" t="str">
        <f t="shared" si="3"/>
        <v xml:space="preserve">30日(金) </v>
      </c>
      <c r="F31" s="2">
        <v>6</v>
      </c>
      <c r="G31" s="2">
        <v>1</v>
      </c>
      <c r="H31" s="2" t="s">
        <v>37</v>
      </c>
      <c r="I31" s="2" t="str">
        <f t="shared" si="7"/>
        <v xml:space="preserve">30日(金)&lt;/td&gt;&lt;td&gt; </v>
      </c>
      <c r="J31" s="2">
        <v>5</v>
      </c>
      <c r="K31" s="2">
        <v>1</v>
      </c>
      <c r="L31" s="2" t="s">
        <v>37</v>
      </c>
      <c r="M31" s="2" t="str">
        <f t="shared" si="5"/>
        <v>金</v>
      </c>
      <c r="O31" s="2" t="str">
        <f t="shared" si="8"/>
        <v xml:space="preserve">&lt;tr&gt;&lt;td&gt;30日(金)&lt;/td&gt;&lt;td&gt; </v>
      </c>
      <c r="P31" t="str">
        <f t="shared" si="9"/>
        <v>&lt;tr&gt;&lt;td&gt;30日(金)&lt;/td&gt;&lt;td&gt; &lt;/td&gt;&lt;/tr&gt;</v>
      </c>
    </row>
    <row r="32" spans="1:16" ht="18" x14ac:dyDescent="0.2">
      <c r="A32" s="8" t="s">
        <v>148</v>
      </c>
      <c r="B32" s="2">
        <v>1</v>
      </c>
      <c r="C32" s="2">
        <v>5</v>
      </c>
      <c r="D32" s="2" t="str">
        <f t="shared" si="6"/>
        <v>31日</v>
      </c>
      <c r="E32" s="2" t="str">
        <f t="shared" si="3"/>
        <v xml:space="preserve">31日(水) </v>
      </c>
      <c r="F32" s="2">
        <v>6</v>
      </c>
      <c r="G32" s="2">
        <v>1</v>
      </c>
      <c r="H32" s="2" t="s">
        <v>37</v>
      </c>
      <c r="I32" s="2" t="str">
        <f t="shared" si="7"/>
        <v xml:space="preserve">31日(水)&lt;/td&gt;&lt;td&gt; </v>
      </c>
      <c r="J32" s="2">
        <v>5</v>
      </c>
      <c r="K32" s="2">
        <v>1</v>
      </c>
      <c r="L32" s="2" t="s">
        <v>37</v>
      </c>
      <c r="M32" s="2" t="str">
        <f t="shared" si="5"/>
        <v>水</v>
      </c>
      <c r="O32" s="2" t="str">
        <f t="shared" si="8"/>
        <v xml:space="preserve">&lt;tr&gt;&lt;td&gt;31日(水)&lt;/td&gt;&lt;td&gt; </v>
      </c>
      <c r="P32" t="str">
        <f t="shared" si="9"/>
        <v>&lt;tr&gt;&lt;td&gt;31日(水)&lt;/td&gt;&lt;td&gt; 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2:I29"/>
  <sheetViews>
    <sheetView workbookViewId="0">
      <selection activeCell="I2" sqref="I2:I29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2" spans="1:9" x14ac:dyDescent="0.2">
      <c r="A2" s="10" t="s">
        <v>110</v>
      </c>
      <c r="B2" s="10" t="s">
        <v>138</v>
      </c>
      <c r="C2" s="10" t="s">
        <v>130</v>
      </c>
      <c r="D2" s="10" t="s">
        <v>139</v>
      </c>
      <c r="E2" t="s">
        <v>108</v>
      </c>
      <c r="F2" s="10" t="s">
        <v>140</v>
      </c>
      <c r="G2" t="s">
        <v>147</v>
      </c>
      <c r="I2" t="str">
        <f>CONCATENATE(A2,B2,C2,D2,E2,F2,G2)</f>
        <v>02/01(月) 臨時休業</v>
      </c>
    </row>
    <row r="3" spans="1:9" x14ac:dyDescent="0.2">
      <c r="A3" s="10" t="s">
        <v>110</v>
      </c>
      <c r="B3" s="10" t="s">
        <v>138</v>
      </c>
      <c r="C3" s="10" t="s">
        <v>109</v>
      </c>
      <c r="D3" s="10" t="s">
        <v>139</v>
      </c>
      <c r="E3" t="s">
        <v>141</v>
      </c>
      <c r="F3" s="10" t="s">
        <v>140</v>
      </c>
      <c r="G3" t="s">
        <v>147</v>
      </c>
      <c r="I3" t="str">
        <f t="shared" ref="I3:I29" si="0">CONCATENATE(A3,B3,C3,D3,E3,F3,G3)</f>
        <v>02/02(火) 臨時休業</v>
      </c>
    </row>
    <row r="4" spans="1:9" x14ac:dyDescent="0.2">
      <c r="A4" s="10" t="s">
        <v>110</v>
      </c>
      <c r="B4" s="10" t="s">
        <v>138</v>
      </c>
      <c r="C4" s="10" t="s">
        <v>131</v>
      </c>
      <c r="D4" s="10" t="s">
        <v>139</v>
      </c>
      <c r="E4" t="s">
        <v>142</v>
      </c>
      <c r="F4" s="10" t="s">
        <v>140</v>
      </c>
      <c r="G4" t="s">
        <v>147</v>
      </c>
      <c r="I4" t="str">
        <f t="shared" si="0"/>
        <v>02/03(水) 臨時休業</v>
      </c>
    </row>
    <row r="5" spans="1:9" x14ac:dyDescent="0.2">
      <c r="A5" s="10" t="s">
        <v>110</v>
      </c>
      <c r="B5" s="10" t="s">
        <v>138</v>
      </c>
      <c r="C5" s="10" t="s">
        <v>132</v>
      </c>
      <c r="D5" s="10" t="s">
        <v>139</v>
      </c>
      <c r="E5" t="s">
        <v>143</v>
      </c>
      <c r="F5" s="10" t="s">
        <v>140</v>
      </c>
      <c r="G5" t="s">
        <v>147</v>
      </c>
      <c r="I5" t="str">
        <f t="shared" si="0"/>
        <v>02/04(木) 臨時休業</v>
      </c>
    </row>
    <row r="6" spans="1:9" x14ac:dyDescent="0.2">
      <c r="A6" s="10" t="s">
        <v>110</v>
      </c>
      <c r="B6" s="10" t="s">
        <v>138</v>
      </c>
      <c r="C6" s="10" t="s">
        <v>133</v>
      </c>
      <c r="D6" s="10" t="s">
        <v>139</v>
      </c>
      <c r="E6" t="s">
        <v>144</v>
      </c>
      <c r="F6" s="10" t="s">
        <v>140</v>
      </c>
      <c r="G6" t="s">
        <v>147</v>
      </c>
      <c r="I6" t="str">
        <f t="shared" si="0"/>
        <v>02/05(金) 臨時休業</v>
      </c>
    </row>
    <row r="7" spans="1:9" x14ac:dyDescent="0.2">
      <c r="A7" s="10" t="s">
        <v>110</v>
      </c>
      <c r="B7" s="10" t="s">
        <v>138</v>
      </c>
      <c r="C7" s="10" t="s">
        <v>134</v>
      </c>
      <c r="D7" s="10" t="s">
        <v>139</v>
      </c>
      <c r="E7" t="s">
        <v>145</v>
      </c>
      <c r="F7" s="10" t="s">
        <v>140</v>
      </c>
      <c r="G7" t="s">
        <v>147</v>
      </c>
      <c r="I7" t="str">
        <f t="shared" si="0"/>
        <v>02/06(土) 臨時休業</v>
      </c>
    </row>
    <row r="8" spans="1:9" x14ac:dyDescent="0.2">
      <c r="A8" s="10" t="s">
        <v>110</v>
      </c>
      <c r="B8" s="10" t="s">
        <v>138</v>
      </c>
      <c r="C8" s="10" t="s">
        <v>135</v>
      </c>
      <c r="D8" s="10" t="s">
        <v>139</v>
      </c>
      <c r="E8" t="s">
        <v>146</v>
      </c>
      <c r="F8" s="10" t="s">
        <v>140</v>
      </c>
      <c r="G8" t="s">
        <v>147</v>
      </c>
      <c r="I8" t="str">
        <f t="shared" si="0"/>
        <v>02/07(日) 臨時休業</v>
      </c>
    </row>
    <row r="9" spans="1:9" x14ac:dyDescent="0.2">
      <c r="A9" s="10" t="s">
        <v>110</v>
      </c>
      <c r="B9" s="10" t="s">
        <v>138</v>
      </c>
      <c r="C9" s="10" t="s">
        <v>136</v>
      </c>
      <c r="D9" s="10" t="s">
        <v>139</v>
      </c>
      <c r="E9" t="s">
        <v>107</v>
      </c>
      <c r="F9" s="10" t="s">
        <v>140</v>
      </c>
      <c r="G9" t="s">
        <v>147</v>
      </c>
      <c r="I9" t="str">
        <f t="shared" si="0"/>
        <v>02/08(月) 臨時休業</v>
      </c>
    </row>
    <row r="10" spans="1:9" x14ac:dyDescent="0.2">
      <c r="A10" s="10" t="s">
        <v>110</v>
      </c>
      <c r="B10" s="10" t="s">
        <v>138</v>
      </c>
      <c r="C10" s="10" t="s">
        <v>137</v>
      </c>
      <c r="D10" s="10" t="s">
        <v>139</v>
      </c>
      <c r="E10" t="s">
        <v>141</v>
      </c>
      <c r="F10" s="10" t="s">
        <v>140</v>
      </c>
      <c r="G10" t="s">
        <v>147</v>
      </c>
      <c r="I10" t="str">
        <f t="shared" si="0"/>
        <v>02/09(火) 臨時休業</v>
      </c>
    </row>
    <row r="11" spans="1:9" x14ac:dyDescent="0.2">
      <c r="A11" s="10" t="s">
        <v>110</v>
      </c>
      <c r="B11" s="10" t="s">
        <v>138</v>
      </c>
      <c r="C11" s="10" t="s">
        <v>111</v>
      </c>
      <c r="D11" s="10" t="s">
        <v>139</v>
      </c>
      <c r="E11" t="s">
        <v>142</v>
      </c>
      <c r="F11" s="10" t="s">
        <v>140</v>
      </c>
      <c r="G11" t="s">
        <v>147</v>
      </c>
      <c r="I11" t="str">
        <f t="shared" si="0"/>
        <v>02/10(水) 臨時休業</v>
      </c>
    </row>
    <row r="12" spans="1:9" x14ac:dyDescent="0.2">
      <c r="A12" s="10" t="s">
        <v>110</v>
      </c>
      <c r="B12" s="10" t="s">
        <v>138</v>
      </c>
      <c r="C12" s="10" t="s">
        <v>112</v>
      </c>
      <c r="D12" s="10" t="s">
        <v>139</v>
      </c>
      <c r="E12" t="s">
        <v>143</v>
      </c>
      <c r="F12" s="10" t="s">
        <v>140</v>
      </c>
      <c r="G12" t="s">
        <v>147</v>
      </c>
      <c r="I12" t="str">
        <f t="shared" si="0"/>
        <v>02/11(木) 臨時休業</v>
      </c>
    </row>
    <row r="13" spans="1:9" x14ac:dyDescent="0.2">
      <c r="A13" s="10" t="s">
        <v>110</v>
      </c>
      <c r="B13" s="10" t="s">
        <v>138</v>
      </c>
      <c r="C13" s="10" t="s">
        <v>113</v>
      </c>
      <c r="D13" s="10" t="s">
        <v>139</v>
      </c>
      <c r="E13" t="s">
        <v>144</v>
      </c>
      <c r="F13" s="10" t="s">
        <v>140</v>
      </c>
      <c r="G13" t="s">
        <v>147</v>
      </c>
      <c r="I13" t="str">
        <f t="shared" si="0"/>
        <v>02/12(金) 臨時休業</v>
      </c>
    </row>
    <row r="14" spans="1:9" x14ac:dyDescent="0.2">
      <c r="A14" s="10" t="s">
        <v>110</v>
      </c>
      <c r="B14" s="10" t="s">
        <v>138</v>
      </c>
      <c r="C14" s="10" t="s">
        <v>114</v>
      </c>
      <c r="D14" s="10" t="s">
        <v>139</v>
      </c>
      <c r="E14" t="s">
        <v>145</v>
      </c>
      <c r="F14" s="10" t="s">
        <v>140</v>
      </c>
      <c r="G14" t="s">
        <v>147</v>
      </c>
      <c r="I14" t="str">
        <f t="shared" si="0"/>
        <v>02/13(土) 臨時休業</v>
      </c>
    </row>
    <row r="15" spans="1:9" x14ac:dyDescent="0.2">
      <c r="A15" s="10" t="s">
        <v>110</v>
      </c>
      <c r="B15" s="10" t="s">
        <v>138</v>
      </c>
      <c r="C15" s="10" t="s">
        <v>115</v>
      </c>
      <c r="D15" s="10" t="s">
        <v>139</v>
      </c>
      <c r="E15" t="s">
        <v>146</v>
      </c>
      <c r="F15" s="10" t="s">
        <v>140</v>
      </c>
      <c r="G15" t="s">
        <v>147</v>
      </c>
      <c r="I15" t="str">
        <f t="shared" si="0"/>
        <v>02/14(日) 臨時休業</v>
      </c>
    </row>
    <row r="16" spans="1:9" x14ac:dyDescent="0.2">
      <c r="A16" s="10" t="s">
        <v>110</v>
      </c>
      <c r="B16" s="10" t="s">
        <v>138</v>
      </c>
      <c r="C16" s="10" t="s">
        <v>116</v>
      </c>
      <c r="D16" s="10" t="s">
        <v>139</v>
      </c>
      <c r="E16" t="s">
        <v>107</v>
      </c>
      <c r="F16" s="10" t="s">
        <v>140</v>
      </c>
      <c r="G16" t="s">
        <v>147</v>
      </c>
      <c r="I16" t="str">
        <f t="shared" si="0"/>
        <v>02/15(月) 臨時休業</v>
      </c>
    </row>
    <row r="17" spans="1:9" x14ac:dyDescent="0.2">
      <c r="A17" s="10" t="s">
        <v>110</v>
      </c>
      <c r="B17" s="10" t="s">
        <v>138</v>
      </c>
      <c r="C17" s="10" t="s">
        <v>117</v>
      </c>
      <c r="D17" s="10" t="s">
        <v>139</v>
      </c>
      <c r="E17" t="s">
        <v>141</v>
      </c>
      <c r="F17" s="10" t="s">
        <v>140</v>
      </c>
      <c r="G17" t="s">
        <v>147</v>
      </c>
      <c r="I17" t="str">
        <f t="shared" si="0"/>
        <v>02/16(火) 臨時休業</v>
      </c>
    </row>
    <row r="18" spans="1:9" x14ac:dyDescent="0.2">
      <c r="A18" s="10" t="s">
        <v>110</v>
      </c>
      <c r="B18" s="10" t="s">
        <v>138</v>
      </c>
      <c r="C18" s="10" t="s">
        <v>118</v>
      </c>
      <c r="D18" s="10" t="s">
        <v>139</v>
      </c>
      <c r="E18" t="s">
        <v>142</v>
      </c>
      <c r="F18" s="10" t="s">
        <v>140</v>
      </c>
      <c r="G18" t="s">
        <v>147</v>
      </c>
      <c r="I18" t="str">
        <f t="shared" si="0"/>
        <v>02/17(水) 臨時休業</v>
      </c>
    </row>
    <row r="19" spans="1:9" x14ac:dyDescent="0.2">
      <c r="A19" s="10" t="s">
        <v>110</v>
      </c>
      <c r="B19" s="10" t="s">
        <v>138</v>
      </c>
      <c r="C19" s="10" t="s">
        <v>119</v>
      </c>
      <c r="D19" s="10" t="s">
        <v>139</v>
      </c>
      <c r="E19" t="s">
        <v>143</v>
      </c>
      <c r="F19" s="10" t="s">
        <v>140</v>
      </c>
      <c r="G19" t="s">
        <v>147</v>
      </c>
      <c r="I19" t="str">
        <f t="shared" si="0"/>
        <v>02/18(木) 臨時休業</v>
      </c>
    </row>
    <row r="20" spans="1:9" x14ac:dyDescent="0.2">
      <c r="A20" s="10" t="s">
        <v>110</v>
      </c>
      <c r="B20" s="10" t="s">
        <v>138</v>
      </c>
      <c r="C20" s="10" t="s">
        <v>120</v>
      </c>
      <c r="D20" s="10" t="s">
        <v>139</v>
      </c>
      <c r="E20" t="s">
        <v>144</v>
      </c>
      <c r="F20" s="10" t="s">
        <v>140</v>
      </c>
      <c r="G20" t="s">
        <v>147</v>
      </c>
      <c r="I20" t="str">
        <f t="shared" si="0"/>
        <v>02/19(金) 臨時休業</v>
      </c>
    </row>
    <row r="21" spans="1:9" x14ac:dyDescent="0.2">
      <c r="A21" s="10" t="s">
        <v>110</v>
      </c>
      <c r="B21" s="10" t="s">
        <v>138</v>
      </c>
      <c r="C21" s="10" t="s">
        <v>121</v>
      </c>
      <c r="D21" s="10" t="s">
        <v>139</v>
      </c>
      <c r="E21" t="s">
        <v>145</v>
      </c>
      <c r="F21" s="10" t="s">
        <v>140</v>
      </c>
      <c r="G21" t="s">
        <v>147</v>
      </c>
      <c r="I21" t="str">
        <f t="shared" si="0"/>
        <v>02/20(土) 臨時休業</v>
      </c>
    </row>
    <row r="22" spans="1:9" x14ac:dyDescent="0.2">
      <c r="A22" s="10" t="s">
        <v>110</v>
      </c>
      <c r="B22" s="10" t="s">
        <v>138</v>
      </c>
      <c r="C22" s="10" t="s">
        <v>122</v>
      </c>
      <c r="D22" s="10" t="s">
        <v>139</v>
      </c>
      <c r="E22" t="s">
        <v>146</v>
      </c>
      <c r="F22" s="10" t="s">
        <v>140</v>
      </c>
      <c r="G22" t="s">
        <v>147</v>
      </c>
      <c r="I22" t="str">
        <f t="shared" si="0"/>
        <v>02/21(日) 臨時休業</v>
      </c>
    </row>
    <row r="23" spans="1:9" x14ac:dyDescent="0.2">
      <c r="A23" s="10" t="s">
        <v>110</v>
      </c>
      <c r="B23" s="10" t="s">
        <v>138</v>
      </c>
      <c r="C23" s="10" t="s">
        <v>123</v>
      </c>
      <c r="D23" s="10" t="s">
        <v>139</v>
      </c>
      <c r="E23" t="s">
        <v>107</v>
      </c>
      <c r="F23" s="10" t="s">
        <v>140</v>
      </c>
      <c r="G23" t="s">
        <v>147</v>
      </c>
      <c r="I23" t="str">
        <f t="shared" si="0"/>
        <v>02/22(月) 臨時休業</v>
      </c>
    </row>
    <row r="24" spans="1:9" x14ac:dyDescent="0.2">
      <c r="A24" s="10" t="s">
        <v>110</v>
      </c>
      <c r="B24" s="10" t="s">
        <v>138</v>
      </c>
      <c r="C24" s="10" t="s">
        <v>124</v>
      </c>
      <c r="D24" s="10" t="s">
        <v>139</v>
      </c>
      <c r="E24" t="s">
        <v>141</v>
      </c>
      <c r="F24" s="10" t="s">
        <v>140</v>
      </c>
      <c r="G24" t="s">
        <v>147</v>
      </c>
      <c r="I24" t="str">
        <f t="shared" si="0"/>
        <v>02/23(火) 臨時休業</v>
      </c>
    </row>
    <row r="25" spans="1:9" x14ac:dyDescent="0.2">
      <c r="A25" s="10" t="s">
        <v>110</v>
      </c>
      <c r="B25" s="10" t="s">
        <v>138</v>
      </c>
      <c r="C25" s="10" t="s">
        <v>125</v>
      </c>
      <c r="D25" s="10" t="s">
        <v>139</v>
      </c>
      <c r="E25" t="s">
        <v>142</v>
      </c>
      <c r="F25" s="10" t="s">
        <v>140</v>
      </c>
      <c r="G25" t="s">
        <v>147</v>
      </c>
      <c r="I25" t="str">
        <f t="shared" si="0"/>
        <v>02/24(水) 臨時休業</v>
      </c>
    </row>
    <row r="26" spans="1:9" x14ac:dyDescent="0.2">
      <c r="A26" s="10" t="s">
        <v>110</v>
      </c>
      <c r="B26" s="10" t="s">
        <v>138</v>
      </c>
      <c r="C26" s="10" t="s">
        <v>126</v>
      </c>
      <c r="D26" s="10" t="s">
        <v>139</v>
      </c>
      <c r="E26" t="s">
        <v>143</v>
      </c>
      <c r="F26" s="10" t="s">
        <v>140</v>
      </c>
      <c r="G26" t="s">
        <v>147</v>
      </c>
      <c r="I26" t="str">
        <f t="shared" si="0"/>
        <v>02/25(木) 臨時休業</v>
      </c>
    </row>
    <row r="27" spans="1:9" x14ac:dyDescent="0.2">
      <c r="A27" s="10" t="s">
        <v>110</v>
      </c>
      <c r="B27" s="10" t="s">
        <v>138</v>
      </c>
      <c r="C27" s="10" t="s">
        <v>127</v>
      </c>
      <c r="D27" s="10" t="s">
        <v>139</v>
      </c>
      <c r="E27" t="s">
        <v>144</v>
      </c>
      <c r="F27" s="10" t="s">
        <v>140</v>
      </c>
      <c r="G27" t="s">
        <v>147</v>
      </c>
      <c r="I27" t="str">
        <f t="shared" si="0"/>
        <v>02/26(金) 臨時休業</v>
      </c>
    </row>
    <row r="28" spans="1:9" x14ac:dyDescent="0.2">
      <c r="A28" s="10" t="s">
        <v>110</v>
      </c>
      <c r="B28" s="10" t="s">
        <v>138</v>
      </c>
      <c r="C28" s="10" t="s">
        <v>128</v>
      </c>
      <c r="D28" s="10" t="s">
        <v>139</v>
      </c>
      <c r="E28" t="s">
        <v>145</v>
      </c>
      <c r="F28" s="10" t="s">
        <v>140</v>
      </c>
      <c r="G28" t="s">
        <v>147</v>
      </c>
      <c r="I28" t="str">
        <f t="shared" si="0"/>
        <v>02/27(土) 臨時休業</v>
      </c>
    </row>
    <row r="29" spans="1:9" x14ac:dyDescent="0.2">
      <c r="A29" s="10" t="s">
        <v>110</v>
      </c>
      <c r="B29" s="10" t="s">
        <v>138</v>
      </c>
      <c r="C29" s="10" t="s">
        <v>129</v>
      </c>
      <c r="D29" s="10" t="s">
        <v>139</v>
      </c>
      <c r="E29" t="s">
        <v>146</v>
      </c>
      <c r="F29" s="10" t="s">
        <v>140</v>
      </c>
      <c r="G29" t="s">
        <v>147</v>
      </c>
      <c r="I29" t="str">
        <f t="shared" si="0"/>
        <v>02/28(日) 臨時休業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20190901</vt:lpstr>
      <vt:lpstr>Sheet2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2021-04-04T22:27:25Z</dcterms:modified>
</cp:coreProperties>
</file>