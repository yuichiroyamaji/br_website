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672F58EA-5177-47DC-B581-30299E37FC1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20210918" sheetId="8" r:id="rId5"/>
    <sheet name="en" sheetId="4" r:id="rId6"/>
  </sheets>
  <calcPr calcId="181029"/>
</workbook>
</file>

<file path=xl/calcChain.xml><?xml version="1.0" encoding="utf-8"?>
<calcChain xmlns="http://schemas.openxmlformats.org/spreadsheetml/2006/main">
  <c r="D4" i="8" l="1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" i="8"/>
  <c r="D28" i="5"/>
  <c r="E28" i="5" s="1"/>
  <c r="I28" i="5" s="1"/>
  <c r="M28" i="5" s="1"/>
  <c r="D22" i="5"/>
  <c r="E22" i="5" s="1"/>
  <c r="I22" i="5" s="1"/>
  <c r="M22" i="5" s="1"/>
  <c r="D21" i="5"/>
  <c r="E21" i="5" s="1"/>
  <c r="I21" i="5" s="1"/>
  <c r="M21" i="5" s="1"/>
  <c r="D16" i="5"/>
  <c r="E16" i="5" s="1"/>
  <c r="I16" i="5" s="1"/>
  <c r="M16" i="5" s="1"/>
  <c r="D11" i="5"/>
  <c r="E11" i="5" s="1"/>
  <c r="I11" i="5" s="1"/>
  <c r="M11" i="5" s="1"/>
  <c r="D10" i="5"/>
  <c r="E10" i="5" s="1"/>
  <c r="I10" i="5" s="1"/>
  <c r="M10" i="5" s="1"/>
  <c r="D4" i="5"/>
  <c r="E4" i="5" s="1"/>
  <c r="I4" i="5" s="1"/>
  <c r="M4" i="5" s="1"/>
  <c r="D5" i="5"/>
  <c r="E5" i="5" s="1"/>
  <c r="I5" i="5" s="1"/>
  <c r="M5" i="5" s="1"/>
  <c r="D6" i="5"/>
  <c r="E6" i="5" s="1"/>
  <c r="I6" i="5" s="1"/>
  <c r="M6" i="5" s="1"/>
  <c r="D7" i="5"/>
  <c r="E7" i="5" s="1"/>
  <c r="I7" i="5" s="1"/>
  <c r="M7" i="5" s="1"/>
  <c r="D2" i="5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<sst xmlns="http://schemas.openxmlformats.org/spreadsheetml/2006/main" count="765" uniqueCount="217">
  <si>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</si>
  <si>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</si>
  <si>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</si>
  <si>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</si>
  <si>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</si>
  <si>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</si>
  <si>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</si>
  <si>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</si>
  <si>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</si>
  <si>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</si>
  <si>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</si>
  <si>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</si>
  <si>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</si>
  <si>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</si>
  <si>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</si>
  <si>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</si>
  <si>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</si>
  <si>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</si>
  <si>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</si>
  <si>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</si>
  <si>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</si>
  <si>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</si>
  <si>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</si>
  <si>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</si>
  <si>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</si>
  <si>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</si>
  <si>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</si>
  <si>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</si>
  <si>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</si>
  <si>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</si>
  <si>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</si>
  <si>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</si>
  <si>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</si>
  <si>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</si>
  <si>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</si>
  <si>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</si>
  <si>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</si>
  <si>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</si>
  <si>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</si>
  <si>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</si>
  <si>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</si>
  <si>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</si>
  <si>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</si>
  <si>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</si>
  <si>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</si>
  <si>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</si>
  <si>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</si>
  <si>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</si>
  <si>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</si>
  <si>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</si>
  <si>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</si>
  <si>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</si>
  <si>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</si>
  <si>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</si>
  <si>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</si>
  <si>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</si>
  <si>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</si>
  <si>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</si>
  <si>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</si>
  <si>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</si>
  <si>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</si>
  <si>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</si>
  <si>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</si>
  <si>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</si>
  <si>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</si>
  <si>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</si>
  <si>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</si>
  <si>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</si>
  <si>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</si>
  <si>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</si>
  <si>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</si>
  <si>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</si>
  <si>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</si>
  <si>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</si>
  <si>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</si>
  <si>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</si>
  <si>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</si>
  <si>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</si>
  <si>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</si>
  <si>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</si>
  <si>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</si>
  <si>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</si>
  <si>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</si>
  <si>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</si>
  <si>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</si>
  <si>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</si>
  <si>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</si>
  <si>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</si>
  <si>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</si>
  <si>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</si>
  <si>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</si>
  <si>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</si>
  <si>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</si>
  <si>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</si>
  <si>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</si>
  <si>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</si>
  <si>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</si>
  <si>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</si>
  <si>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</si>
  <si>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</si>
  <si>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</si>
  <si>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</si>
  <si>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</si>
  <si>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</si>
  <si>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</si>
  <si>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</si>
  <si>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</si>
  <si>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</si>
  <si>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</si>
  <si>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</si>
  <si>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</si>
  <si>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</si>
  <si>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</si>
  <si>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</si>
  <si>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</si>
  <si>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</si>
  <si>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</si>
  <si>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</si>
  <si>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</si>
  <si>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</si>
  <si>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</si>
  <si>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</si>
  <si>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</si>
  <si>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</si>
  <si>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</si>
  <si>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</si>
  <si>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</si>
  <si>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</si>
  <si>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</si>
  <si>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</si>
  <si>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</si>
  <si>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</si>
  <si>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</si>
  <si>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</si>
  <si>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</si>
  <si>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</si>
  <si>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</si>
  <si>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</si>
  <si>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</si>
  <si>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</si>
  <si>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</si>
  <si>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</si>
  <si>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</si>
  <si>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</si>
  <si>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</si>
  <si>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</si>
  <si>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</si>
  <si>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</si>
  <si>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</si>
  <si>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</si>
  <si>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</si>
  <si>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</si>
  <si>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</si>
  <si>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</si>
  <si>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</si>
  <si>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</si>
  <si>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</si>
  <si>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</si>
  <si>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</si>
  <si>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</si>
  <si>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</si>
  <si>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</si>
  <si>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</si>
  <si>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</si>
  <si>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</si>
  <si>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</si>
  <si>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</si>
  <si>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</si>
  <si>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</si>
  <si>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</si>
  <si>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</si>
  <si>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</si>
  <si>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</si>
  <si>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</si>
  <si>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</si>
  <si>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</si>
  <si>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</si>
  <si>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</si>
  <si>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</si>
  <si>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</si>
  <si>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</si>
  <si>
    <t>09</t>
    <phoneticPr fontId="1"/>
  </si>
  <si>
    <t>=$A$1</t>
    <phoneticPr fontId="1"/>
  </si>
  <si>
    <t>=A1</t>
    <phoneticPr fontId="1"/>
  </si>
  <si>
    <t>水</t>
    <rPh sb="0" eb="1">
      <t>スイ</t>
    </rPh>
    <phoneticPr fontId="1"/>
  </si>
  <si>
    <t>臨時休業</t>
    <rPh sb="0" eb="2">
      <t>リンジ</t>
    </rPh>
    <rPh sb="2" eb="4">
      <t>キュウギョウ</t>
    </rPh>
    <phoneticPr fontId="1"/>
  </si>
  <si>
    <t xml:space="preserve">10/01(金) </t>
  </si>
  <si>
    <t xml:space="preserve">10/02(土) </t>
  </si>
  <si>
    <t xml:space="preserve">10/03(日) </t>
  </si>
  <si>
    <t xml:space="preserve">10/04(月) </t>
  </si>
  <si>
    <t xml:space="preserve">10/05(火) </t>
  </si>
  <si>
    <t xml:space="preserve">10/06(水) </t>
  </si>
  <si>
    <t xml:space="preserve">10/07(木) </t>
  </si>
  <si>
    <t xml:space="preserve">10/08(金) </t>
  </si>
  <si>
    <t>10/09(土) 柘榴</t>
  </si>
  <si>
    <t xml:space="preserve">10/10(日) </t>
  </si>
  <si>
    <t xml:space="preserve">10/11(月) </t>
  </si>
  <si>
    <t xml:space="preserve">10/12(火) </t>
  </si>
  <si>
    <t xml:space="preserve">10/13(水) </t>
  </si>
  <si>
    <t xml:space="preserve">10/14(木) </t>
  </si>
  <si>
    <t xml:space="preserve">10/15(金) </t>
  </si>
  <si>
    <t>10/16(土) 柘榴</t>
  </si>
  <si>
    <t xml:space="preserve">10/17(日) </t>
  </si>
  <si>
    <t xml:space="preserve">10/18(月) </t>
  </si>
  <si>
    <t xml:space="preserve">10/19(火) </t>
  </si>
  <si>
    <t xml:space="preserve">10/20(水) </t>
  </si>
  <si>
    <t xml:space="preserve">10/21(木) </t>
  </si>
  <si>
    <t>10/22(金) 密</t>
  </si>
  <si>
    <t>10/23(土) 美咲</t>
  </si>
  <si>
    <t xml:space="preserve">10/24(日) </t>
  </si>
  <si>
    <t xml:space="preserve">10/25(月) </t>
  </si>
  <si>
    <t xml:space="preserve">10/26(火) </t>
  </si>
  <si>
    <t xml:space="preserve">10/27(水) </t>
  </si>
  <si>
    <t xml:space="preserve">10/28(木) </t>
  </si>
  <si>
    <t>10/29(金) 密</t>
  </si>
  <si>
    <t xml:space="preserve">10/30(土) </t>
  </si>
  <si>
    <t xml:space="preserve">10/31(日)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</si>
</sst>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77" formatCode="00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sz val="1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 applyFill="1" applyAlignment="1">
      <alignment vertical="center" wrapText="1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abSelected="1" topLeftCell="F10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">
        <v>186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 xml:space="preserve">1日(金) </v>
      </c>
      <c r="F2" s="2">
        <v>5</v>
      </c>
      <c r="G2" s="2">
        <v>1</v>
      </c>
      <c r="H2" s="2" t="s">
        <v>37</v>
      </c>
      <c r="I2" s="2" t="str">
        <f>REPLACE(E2,F2,G2,H2)</f>
        <v xml:space="preserve">1日(金)&lt;/td&gt;&lt;td&gt; </v>
      </c>
      <c r="J2" s="2">
        <v>4</v>
      </c>
      <c r="K2" s="2">
        <v>1</v>
      </c>
      <c r="L2" s="2" t="s">
        <v>37</v>
      </c>
      <c r="M2" s="2" t="str">
        <f>MID(I2,J2,K2)</f>
        <v>金</v>
      </c>
      <c r="O2" s="2" t="str">
        <f t="shared" ref="O2:O11" si="0">IF(OR(M2="土", M2="日"), "&lt;tr class='weekend'&gt;&lt;td&gt;"&amp;I2, "&lt;tr&gt;&lt;td&gt;"&amp;I2)</f>
        <v xml:space="preserve">&lt;tr&gt;&lt;td&gt;1日(金)&lt;/td&gt;&lt;td&gt; 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&lt;tr&gt;&lt;td&gt;1日(金)&lt;/td&gt;&lt;td&gt; &lt;/td&gt;&lt;/tr&gt;</v>
      </c>
      <c r="Q2" s="13">
        <f>ROW()-1</f>
        <v>1</v>
      </c>
      <c r="R2" t="s">
        <v>180</v>
      </c>
    </row>
    <row r="3" spans="1:18" ht="18" x14ac:dyDescent="0.2">
      <c r="A3" s="8" t="s">
        <v>187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 xml:space="preserve">2日(土) 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 xml:space="preserve">2日(土)&lt;/td&gt;&lt;td&gt; </v>
      </c>
      <c r="J3" s="2">
        <v>4</v>
      </c>
      <c r="K3" s="2">
        <v>1</v>
      </c>
      <c r="L3" s="2" t="s">
        <v>37</v>
      </c>
      <c r="M3" s="2" t="str">
        <f t="shared" ref="M3:M32" si="5">MID(I3,J3,K3)</f>
        <v>土</v>
      </c>
      <c r="O3" s="2" t="str">
        <f t="shared" si="0"/>
        <v xml:space="preserve">&lt;tr class='weekend'&gt;&lt;td&gt;2日(土)&lt;/td&gt;&lt;td&gt; </v>
      </c>
      <c r="P3" t="str">
        <f t="shared" si="1"/>
        <v>&lt;tr class='weekend'&gt;&lt;td&gt;2日(土)&lt;/td&gt;&lt;td&gt; &lt;/td&gt;&lt;/tr&gt;</v>
      </c>
      <c r="Q3" s="13">
        <f t="shared" ref="Q3:Q32" si="6">ROW()-1</f>
        <v>2</v>
      </c>
      <c r="R3" t="s">
        <v>142</v>
      </c>
    </row>
    <row r="4" spans="1:18" ht="18" x14ac:dyDescent="0.2">
      <c r="A4" s="8" t="s">
        <v>188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 xml:space="preserve">3日(日) </v>
      </c>
      <c r="F4" s="2">
        <v>5</v>
      </c>
      <c r="G4" s="2">
        <v>1</v>
      </c>
      <c r="H4" s="2" t="s">
        <v>37</v>
      </c>
      <c r="I4" s="2" t="str">
        <f t="shared" si="4"/>
        <v xml:space="preserve">3日(日)&lt;/td&gt;&lt;td&gt; </v>
      </c>
      <c r="J4" s="2">
        <v>4</v>
      </c>
      <c r="K4" s="2">
        <v>1</v>
      </c>
      <c r="L4" s="2" t="s">
        <v>37</v>
      </c>
      <c r="M4" s="2" t="str">
        <f t="shared" si="5"/>
        <v>日</v>
      </c>
      <c r="O4" s="2" t="str">
        <f t="shared" si="0"/>
        <v xml:space="preserve">&lt;tr class='weekend'&gt;&lt;td&gt;3日(日)&lt;/td&gt;&lt;td&gt; </v>
      </c>
      <c r="P4" t="str">
        <f t="shared" si="1"/>
        <v>&lt;tr class='weekend'&gt;&lt;td&gt;3日(日)&lt;/td&gt;&lt;td&gt; &lt;span class='event_font'&gt;&amp;nbsp&amp;nbspセット料金半額DAY!&lt;/span&gt;&lt;/td&gt;&lt;/tr&gt;</v>
      </c>
      <c r="Q4" s="13">
        <f t="shared" si="6"/>
        <v>3</v>
      </c>
      <c r="R4" t="s">
        <v>143</v>
      </c>
    </row>
    <row r="5" spans="1:18" ht="18" x14ac:dyDescent="0.2">
      <c r="A5" s="8" t="s">
        <v>189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 xml:space="preserve">4日(月) </v>
      </c>
      <c r="F5" s="2">
        <v>5</v>
      </c>
      <c r="G5" s="2">
        <v>1</v>
      </c>
      <c r="H5" s="2" t="s">
        <v>37</v>
      </c>
      <c r="I5" s="2" t="str">
        <f t="shared" si="4"/>
        <v xml:space="preserve">4日(月)&lt;/td&gt;&lt;td&gt; </v>
      </c>
      <c r="J5" s="2">
        <v>4</v>
      </c>
      <c r="K5" s="2">
        <v>1</v>
      </c>
      <c r="L5" s="2" t="s">
        <v>37</v>
      </c>
      <c r="M5" s="2" t="str">
        <f t="shared" si="5"/>
        <v>月</v>
      </c>
      <c r="O5" s="2" t="str">
        <f t="shared" si="0"/>
        <v xml:space="preserve">&lt;tr&gt;&lt;td&gt;4日(月)&lt;/td&gt;&lt;td&gt; </v>
      </c>
      <c r="P5" t="str">
        <f t="shared" si="1"/>
        <v>&lt;tr&gt;&lt;td&gt;4日(月)&lt;/td&gt;&lt;td&gt; &lt;/td&gt;&lt;/tr&gt;</v>
      </c>
      <c r="Q5" s="13">
        <f t="shared" si="6"/>
        <v>4</v>
      </c>
      <c r="R5" t="s">
        <v>144</v>
      </c>
    </row>
    <row r="6" spans="1:18" ht="18" x14ac:dyDescent="0.2">
      <c r="A6" s="8" t="s">
        <v>190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 xml:space="preserve">5日(火) </v>
      </c>
      <c r="F6" s="2">
        <v>5</v>
      </c>
      <c r="G6" s="2">
        <v>1</v>
      </c>
      <c r="H6" s="2" t="s">
        <v>37</v>
      </c>
      <c r="I6" s="2" t="str">
        <f t="shared" si="4"/>
        <v xml:space="preserve">5日(火)&lt;/td&gt;&lt;td&gt; </v>
      </c>
      <c r="J6" s="2">
        <v>4</v>
      </c>
      <c r="K6" s="2">
        <v>1</v>
      </c>
      <c r="L6" s="2" t="s">
        <v>37</v>
      </c>
      <c r="M6" s="2" t="str">
        <f t="shared" si="5"/>
        <v>火</v>
      </c>
      <c r="O6" s="2" t="str">
        <f t="shared" si="0"/>
        <v xml:space="preserve">&lt;tr&gt;&lt;td&gt;5日(火)&lt;/td&gt;&lt;td&gt; </v>
      </c>
      <c r="P6" t="str">
        <f t="shared" si="1"/>
        <v>&lt;tr&gt;&lt;td&gt;5日(火)&lt;/td&gt;&lt;td&gt; &lt;/td&gt;&lt;/tr&gt;</v>
      </c>
      <c r="Q6" s="13">
        <f t="shared" si="6"/>
        <v>5</v>
      </c>
      <c r="R6" t="s">
        <v>145</v>
      </c>
    </row>
    <row r="7" spans="1:18" ht="18" x14ac:dyDescent="0.2">
      <c r="A7" s="8" t="s">
        <v>191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 xml:space="preserve">6日(水) </v>
      </c>
      <c r="F7" s="2">
        <v>5</v>
      </c>
      <c r="G7" s="2">
        <v>1</v>
      </c>
      <c r="H7" s="2" t="s">
        <v>37</v>
      </c>
      <c r="I7" s="2" t="str">
        <f t="shared" si="4"/>
        <v xml:space="preserve">6日(水)&lt;/td&gt;&lt;td&gt; </v>
      </c>
      <c r="J7" s="2">
        <v>4</v>
      </c>
      <c r="K7" s="2">
        <v>1</v>
      </c>
      <c r="L7" s="2" t="s">
        <v>37</v>
      </c>
      <c r="M7" s="2" t="str">
        <f t="shared" si="5"/>
        <v>水</v>
      </c>
      <c r="O7" s="2" t="str">
        <f t="shared" si="0"/>
        <v xml:space="preserve">&lt;tr&gt;&lt;td&gt;6日(水)&lt;/td&gt;&lt;td&gt; </v>
      </c>
      <c r="P7" t="str">
        <f t="shared" si="1"/>
        <v>&lt;tr&gt;&lt;td&gt;6日(水)&lt;/td&gt;&lt;td&gt; &lt;/td&gt;&lt;/tr&gt;</v>
      </c>
      <c r="Q7" s="13">
        <f t="shared" si="6"/>
        <v>6</v>
      </c>
      <c r="R7" t="s">
        <v>146</v>
      </c>
    </row>
    <row r="8" spans="1:18" ht="18" x14ac:dyDescent="0.2">
      <c r="A8" s="8" t="s">
        <v>192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 xml:space="preserve">7日(木) </v>
      </c>
      <c r="F8" s="2">
        <v>5</v>
      </c>
      <c r="G8" s="2">
        <v>1</v>
      </c>
      <c r="H8" s="2" t="s">
        <v>37</v>
      </c>
      <c r="I8" s="2" t="str">
        <f t="shared" si="4"/>
        <v xml:space="preserve">7日(木)&lt;/td&gt;&lt;td&gt; </v>
      </c>
      <c r="J8" s="2">
        <v>4</v>
      </c>
      <c r="K8" s="2">
        <v>1</v>
      </c>
      <c r="L8" s="2" t="s">
        <v>37</v>
      </c>
      <c r="M8" s="2" t="str">
        <f t="shared" si="5"/>
        <v>木</v>
      </c>
      <c r="O8" s="2" t="str">
        <f t="shared" si="0"/>
        <v xml:space="preserve">&lt;tr&gt;&lt;td&gt;7日(木)&lt;/td&gt;&lt;td&gt; </v>
      </c>
      <c r="P8" t="str">
        <f t="shared" si="1"/>
        <v>&lt;tr&gt;&lt;td&gt;7日(木)&lt;/td&gt;&lt;td&gt; &lt;/td&gt;&lt;/tr&gt;</v>
      </c>
      <c r="Q8" s="13">
        <f t="shared" si="6"/>
        <v>7</v>
      </c>
      <c r="R8" t="s">
        <v>107</v>
      </c>
    </row>
    <row r="9" spans="1:18" ht="18" x14ac:dyDescent="0.2">
      <c r="A9" s="8" t="s">
        <v>193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 xml:space="preserve">8日(金) </v>
      </c>
      <c r="F9" s="2">
        <v>5</v>
      </c>
      <c r="G9" s="2">
        <v>1</v>
      </c>
      <c r="H9" s="2" t="s">
        <v>37</v>
      </c>
      <c r="I9" s="2" t="str">
        <f t="shared" si="4"/>
        <v xml:space="preserve">8日(金)&lt;/td&gt;&lt;td&gt; </v>
      </c>
      <c r="J9" s="2">
        <v>4</v>
      </c>
      <c r="K9" s="2">
        <v>1</v>
      </c>
      <c r="L9" s="2" t="s">
        <v>37</v>
      </c>
      <c r="M9" s="2" t="str">
        <f t="shared" si="5"/>
        <v>金</v>
      </c>
      <c r="O9" s="2" t="str">
        <f t="shared" si="0"/>
        <v xml:space="preserve">&lt;tr&gt;&lt;td&gt;8日(金)&lt;/td&gt;&lt;td&gt; </v>
      </c>
      <c r="P9" t="str">
        <f t="shared" si="1"/>
        <v>&lt;tr&gt;&lt;td&gt;8日(金)&lt;/td&gt;&lt;td&gt; &lt;/td&gt;&lt;/tr&gt;</v>
      </c>
      <c r="Q9" s="13">
        <f t="shared" si="6"/>
        <v>8</v>
      </c>
      <c r="R9" t="s">
        <v>141</v>
      </c>
    </row>
    <row r="10" spans="1:18" ht="18" x14ac:dyDescent="0.2">
      <c r="A10" s="8" t="s">
        <v>194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9日(土) 柘榴</v>
      </c>
      <c r="F10" s="2">
        <v>5</v>
      </c>
      <c r="G10" s="2">
        <v>1</v>
      </c>
      <c r="H10" s="2" t="s">
        <v>37</v>
      </c>
      <c r="I10" s="2" t="str">
        <f t="shared" si="4"/>
        <v>9日(土)&lt;/td&gt;&lt;td&gt; 柘榴</v>
      </c>
      <c r="J10" s="2">
        <v>4</v>
      </c>
      <c r="K10" s="2">
        <v>1</v>
      </c>
      <c r="L10" s="2" t="s">
        <v>37</v>
      </c>
      <c r="M10" s="2" t="str">
        <f t="shared" si="5"/>
        <v>土</v>
      </c>
      <c r="O10" s="2" t="str">
        <f t="shared" si="0"/>
        <v>&lt;tr class='weekend'&gt;&lt;td&gt;9日(土)&lt;/td&gt;&lt;td&gt; 柘榴</v>
      </c>
      <c r="P10" t="str">
        <f t="shared" si="1"/>
        <v>&lt;tr class='weekend'&gt;&lt;td&gt;9日(土)&lt;/td&gt;&lt;td&gt; 柘榴&lt;/td&gt;&lt;/tr&gt;</v>
      </c>
      <c r="Q10" s="13">
        <f t="shared" si="6"/>
        <v>9</v>
      </c>
      <c r="R10" t="s">
        <v>142</v>
      </c>
    </row>
    <row r="11" spans="1:18" ht="18" x14ac:dyDescent="0.2">
      <c r="A11" s="8" t="s">
        <v>195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 xml:space="preserve">10日(日) </v>
      </c>
      <c r="F11" s="2">
        <v>6</v>
      </c>
      <c r="G11" s="2">
        <v>1</v>
      </c>
      <c r="H11" s="2" t="s">
        <v>37</v>
      </c>
      <c r="I11" s="2" t="str">
        <f>REPLACE(E11,F11,G11,H11)</f>
        <v xml:space="preserve">10日(日)&lt;/td&gt;&lt;td&gt; </v>
      </c>
      <c r="J11" s="2">
        <v>5</v>
      </c>
      <c r="K11" s="2">
        <v>1</v>
      </c>
      <c r="L11" s="2" t="s">
        <v>37</v>
      </c>
      <c r="M11" s="2" t="str">
        <f t="shared" si="5"/>
        <v>日</v>
      </c>
      <c r="O11" s="2" t="str">
        <f t="shared" si="0"/>
        <v xml:space="preserve">&lt;tr class='weekend'&gt;&lt;td&gt;10日(日)&lt;/td&gt;&lt;td&gt; </v>
      </c>
      <c r="P11" t="str">
        <f t="shared" si="1"/>
        <v>&lt;tr class='weekend'&gt;&lt;td&gt;10日(日)&lt;/td&gt;&lt;td&gt; &lt;span class='event_font'&gt;&amp;nbsp&amp;nbspセット料金半額DAY!&lt;/span&gt;&lt;/td&gt;&lt;/tr&gt;</v>
      </c>
      <c r="Q11" s="13">
        <f t="shared" si="6"/>
        <v>10</v>
      </c>
      <c r="R11" t="s">
        <v>143</v>
      </c>
    </row>
    <row r="12" spans="1:18" ht="18" x14ac:dyDescent="0.2">
      <c r="A12" s="8" t="s">
        <v>196</v>
      </c>
      <c r="B12" s="2">
        <v>1</v>
      </c>
      <c r="C12" s="2">
        <v>5</v>
      </c>
      <c r="D12" s="2" t="str">
        <f t="shared" ref="D12:D32" si="7">MID(A12, 4, 2)&amp;"日"</f>
        <v>11日</v>
      </c>
      <c r="E12" s="2" t="str">
        <f t="shared" si="3"/>
        <v xml:space="preserve">11日(月) </v>
      </c>
      <c r="F12" s="2">
        <v>6</v>
      </c>
      <c r="G12" s="2">
        <v>1</v>
      </c>
      <c r="H12" s="2" t="s">
        <v>37</v>
      </c>
      <c r="I12" s="2" t="str">
        <f t="shared" ref="I12:I32" si="8">REPLACE(E12,F12,G12,H12)</f>
        <v xml:space="preserve">11日(月)&lt;/td&gt;&lt;td&gt; </v>
      </c>
      <c r="J12" s="2">
        <v>5</v>
      </c>
      <c r="K12" s="2">
        <v>1</v>
      </c>
      <c r="L12" s="2" t="s">
        <v>37</v>
      </c>
      <c r="M12" s="2" t="str">
        <f t="shared" si="5"/>
        <v>月</v>
      </c>
      <c r="O12" s="2" t="str">
        <f>IF(OR(M12="土", M12="日"), "&lt;tr class='weekend'&gt;&lt;td&gt;"&amp;I12, "&lt;tr&gt;&lt;td&gt;"&amp;I12)</f>
        <v xml:space="preserve">&lt;tr&gt;&lt;td&gt;11日(月)&lt;/td&gt;&lt;td&gt; </v>
      </c>
      <c r="P12" t="str">
        <f>IF(M12="日", O12&amp;"&lt;span class='event_font'&gt;&amp;nbsp&amp;nbspセット料金半額DAY!&lt;/span&gt;&lt;/td&gt;&lt;/tr&gt;",O12&amp;"&lt;/td&gt;&lt;/tr&gt;")</f>
        <v>&lt;tr&gt;&lt;td&gt;11日(月)&lt;/td&gt;&lt;td&gt; &lt;/td&gt;&lt;/tr&gt;</v>
      </c>
      <c r="Q12" s="13">
        <f t="shared" si="6"/>
        <v>11</v>
      </c>
      <c r="R12" t="s">
        <v>144</v>
      </c>
    </row>
    <row r="13" spans="1:18" ht="18" x14ac:dyDescent="0.2">
      <c r="A13" s="8" t="s">
        <v>197</v>
      </c>
      <c r="B13" s="2">
        <v>1</v>
      </c>
      <c r="C13" s="2">
        <v>5</v>
      </c>
      <c r="D13" s="2" t="str">
        <f t="shared" si="7"/>
        <v>12日</v>
      </c>
      <c r="E13" s="2" t="str">
        <f t="shared" si="3"/>
        <v xml:space="preserve">12日(火) </v>
      </c>
      <c r="F13" s="2">
        <v>6</v>
      </c>
      <c r="G13" s="2">
        <v>1</v>
      </c>
      <c r="H13" s="2" t="s">
        <v>37</v>
      </c>
      <c r="I13" s="2" t="str">
        <f t="shared" si="8"/>
        <v xml:space="preserve">12日(火)&lt;/td&gt;&lt;td&gt; </v>
      </c>
      <c r="J13" s="2">
        <v>5</v>
      </c>
      <c r="K13" s="2">
        <v>1</v>
      </c>
      <c r="L13" s="2" t="s">
        <v>37</v>
      </c>
      <c r="M13" s="2" t="str">
        <f t="shared" si="5"/>
        <v>火</v>
      </c>
      <c r="O13" s="2" t="str">
        <f t="shared" ref="O13:O32" si="9">IF(OR(M13="土", M13="日"), "&lt;tr class='weekend'&gt;&lt;td&gt;"&amp;I13, "&lt;tr&gt;&lt;td&gt;"&amp;I13)</f>
        <v xml:space="preserve">&lt;tr&gt;&lt;td&gt;12日(火)&lt;/td&gt;&lt;td&gt; </v>
      </c>
      <c r="P13" t="str">
        <f t="shared" ref="P13:P32" si="10">IF(M13="日", O13&amp;"&lt;span class='event_font'&gt;&amp;nbsp&amp;nbspセット料金半額DAY!&lt;/span&gt;&lt;/td&gt;&lt;/tr&gt;",O13&amp;"&lt;/td&gt;&lt;/tr&gt;")</f>
        <v>&lt;tr&gt;&lt;td&gt;12日(火)&lt;/td&gt;&lt;td&gt; &lt;/td&gt;&lt;/tr&gt;</v>
      </c>
      <c r="Q13" s="13">
        <f t="shared" si="6"/>
        <v>12</v>
      </c>
      <c r="R13" t="s">
        <v>145</v>
      </c>
    </row>
    <row r="14" spans="1:18" ht="18" x14ac:dyDescent="0.2">
      <c r="A14" s="8" t="s">
        <v>198</v>
      </c>
      <c r="B14" s="2">
        <v>1</v>
      </c>
      <c r="C14" s="2">
        <v>5</v>
      </c>
      <c r="D14" s="2" t="str">
        <f t="shared" si="7"/>
        <v>13日</v>
      </c>
      <c r="E14" s="2" t="str">
        <f t="shared" si="3"/>
        <v xml:space="preserve">13日(水) </v>
      </c>
      <c r="F14" s="2">
        <v>6</v>
      </c>
      <c r="G14" s="2">
        <v>1</v>
      </c>
      <c r="H14" s="2" t="s">
        <v>37</v>
      </c>
      <c r="I14" s="2" t="str">
        <f t="shared" si="8"/>
        <v xml:space="preserve">13日(水)&lt;/td&gt;&lt;td&gt; </v>
      </c>
      <c r="J14" s="2">
        <v>5</v>
      </c>
      <c r="K14" s="2">
        <v>1</v>
      </c>
      <c r="L14" s="2" t="s">
        <v>37</v>
      </c>
      <c r="M14" s="2" t="str">
        <f t="shared" si="5"/>
        <v>水</v>
      </c>
      <c r="O14" s="2" t="str">
        <f t="shared" si="9"/>
        <v xml:space="preserve">&lt;tr&gt;&lt;td&gt;13日(水)&lt;/td&gt;&lt;td&gt; </v>
      </c>
      <c r="P14" t="str">
        <f t="shared" si="10"/>
        <v>&lt;tr&gt;&lt;td&gt;13日(水)&lt;/td&gt;&lt;td&gt; &lt;/td&gt;&lt;/tr&gt;</v>
      </c>
      <c r="Q14" s="13">
        <f t="shared" si="6"/>
        <v>13</v>
      </c>
      <c r="R14" t="s">
        <v>146</v>
      </c>
    </row>
    <row r="15" spans="1:18" ht="18" x14ac:dyDescent="0.2">
      <c r="A15" s="8" t="s">
        <v>199</v>
      </c>
      <c r="B15" s="2">
        <v>1</v>
      </c>
      <c r="C15" s="2">
        <v>5</v>
      </c>
      <c r="D15" s="2" t="str">
        <f t="shared" si="7"/>
        <v>14日</v>
      </c>
      <c r="E15" s="2" t="str">
        <f t="shared" si="3"/>
        <v xml:space="preserve">14日(木) </v>
      </c>
      <c r="F15" s="2">
        <v>6</v>
      </c>
      <c r="G15" s="2">
        <v>1</v>
      </c>
      <c r="H15" s="2" t="s">
        <v>37</v>
      </c>
      <c r="I15" s="2" t="str">
        <f t="shared" si="8"/>
        <v xml:space="preserve">14日(木)&lt;/td&gt;&lt;td&gt; </v>
      </c>
      <c r="J15" s="2">
        <v>5</v>
      </c>
      <c r="K15" s="2">
        <v>1</v>
      </c>
      <c r="L15" s="2" t="s">
        <v>37</v>
      </c>
      <c r="M15" s="2" t="str">
        <f t="shared" si="5"/>
        <v>木</v>
      </c>
      <c r="O15" s="2" t="str">
        <f t="shared" si="9"/>
        <v xml:space="preserve">&lt;tr&gt;&lt;td&gt;14日(木)&lt;/td&gt;&lt;td&gt; </v>
      </c>
      <c r="P15" t="str">
        <f t="shared" si="10"/>
        <v>&lt;tr&gt;&lt;td&gt;14日(木)&lt;/td&gt;&lt;td&gt; &lt;/td&gt;&lt;/tr&gt;</v>
      </c>
      <c r="Q15" s="13">
        <f t="shared" si="6"/>
        <v>14</v>
      </c>
      <c r="R15" t="s">
        <v>107</v>
      </c>
    </row>
    <row r="16" spans="1:18" ht="18" x14ac:dyDescent="0.2">
      <c r="A16" s="8" t="s">
        <v>200</v>
      </c>
      <c r="B16" s="2">
        <v>1</v>
      </c>
      <c r="C16" s="2">
        <v>5</v>
      </c>
      <c r="D16" s="2" t="str">
        <f t="shared" si="7"/>
        <v>15日</v>
      </c>
      <c r="E16" s="2" t="str">
        <f t="shared" si="3"/>
        <v xml:space="preserve">15日(金) </v>
      </c>
      <c r="F16" s="2">
        <v>6</v>
      </c>
      <c r="G16" s="2">
        <v>1</v>
      </c>
      <c r="H16" s="2" t="s">
        <v>37</v>
      </c>
      <c r="I16" s="2" t="str">
        <f t="shared" si="8"/>
        <v xml:space="preserve">15日(金)&lt;/td&gt;&lt;td&gt; </v>
      </c>
      <c r="J16" s="2">
        <v>5</v>
      </c>
      <c r="K16" s="2">
        <v>1</v>
      </c>
      <c r="L16" s="2" t="s">
        <v>37</v>
      </c>
      <c r="M16" s="2" t="str">
        <f t="shared" si="5"/>
        <v>金</v>
      </c>
      <c r="O16" s="2" t="str">
        <f t="shared" si="9"/>
        <v xml:space="preserve">&lt;tr&gt;&lt;td&gt;15日(金)&lt;/td&gt;&lt;td&gt; </v>
      </c>
      <c r="P16" t="str">
        <f t="shared" si="10"/>
        <v>&lt;tr&gt;&lt;td&gt;15日(金)&lt;/td&gt;&lt;td&gt; &lt;/td&gt;&lt;/tr&gt;</v>
      </c>
      <c r="Q16" s="13">
        <f t="shared" si="6"/>
        <v>15</v>
      </c>
      <c r="R16" t="s">
        <v>141</v>
      </c>
    </row>
    <row r="17" spans="1:18" ht="18" x14ac:dyDescent="0.2">
      <c r="A17" s="8" t="s">
        <v>201</v>
      </c>
      <c r="B17" s="2">
        <v>1</v>
      </c>
      <c r="C17" s="2">
        <v>5</v>
      </c>
      <c r="D17" s="2" t="str">
        <f t="shared" si="7"/>
        <v>16日</v>
      </c>
      <c r="E17" s="2" t="str">
        <f t="shared" si="3"/>
        <v>16日(土) 柘榴</v>
      </c>
      <c r="F17" s="2">
        <v>6</v>
      </c>
      <c r="G17" s="2">
        <v>1</v>
      </c>
      <c r="H17" s="2" t="s">
        <v>37</v>
      </c>
      <c r="I17" s="2" t="str">
        <f t="shared" si="8"/>
        <v>16日(土)&lt;/td&gt;&lt;td&gt; 柘榴</v>
      </c>
      <c r="J17" s="2">
        <v>5</v>
      </c>
      <c r="K17" s="2">
        <v>1</v>
      </c>
      <c r="L17" s="2" t="s">
        <v>37</v>
      </c>
      <c r="M17" s="2" t="str">
        <f t="shared" si="5"/>
        <v>土</v>
      </c>
      <c r="O17" s="2" t="str">
        <f t="shared" si="9"/>
        <v>&lt;tr class='weekend'&gt;&lt;td&gt;16日(土)&lt;/td&gt;&lt;td&gt; 柘榴</v>
      </c>
      <c r="P17" t="str">
        <f t="shared" si="10"/>
        <v>&lt;tr class='weekend'&gt;&lt;td&gt;16日(土)&lt;/td&gt;&lt;td&gt; 柘榴&lt;/td&gt;&lt;/tr&gt;</v>
      </c>
      <c r="Q17" s="13">
        <f t="shared" si="6"/>
        <v>16</v>
      </c>
      <c r="R17" t="s">
        <v>142</v>
      </c>
    </row>
    <row r="18" spans="1:18" ht="18" x14ac:dyDescent="0.2">
      <c r="A18" s="8" t="s">
        <v>202</v>
      </c>
      <c r="B18" s="2">
        <v>1</v>
      </c>
      <c r="C18" s="2">
        <v>5</v>
      </c>
      <c r="D18" s="2" t="str">
        <f t="shared" si="7"/>
        <v>17日</v>
      </c>
      <c r="E18" s="2" t="str">
        <f t="shared" si="3"/>
        <v xml:space="preserve">17日(日) </v>
      </c>
      <c r="F18" s="2">
        <v>6</v>
      </c>
      <c r="G18" s="2">
        <v>1</v>
      </c>
      <c r="H18" s="2" t="s">
        <v>37</v>
      </c>
      <c r="I18" s="2" t="str">
        <f t="shared" si="8"/>
        <v xml:space="preserve">17日(日)&lt;/td&gt;&lt;td&gt; </v>
      </c>
      <c r="J18" s="2">
        <v>5</v>
      </c>
      <c r="K18" s="2">
        <v>1</v>
      </c>
      <c r="L18" s="2" t="s">
        <v>37</v>
      </c>
      <c r="M18" s="2" t="str">
        <f t="shared" si="5"/>
        <v>日</v>
      </c>
      <c r="O18" s="2" t="str">
        <f t="shared" si="9"/>
        <v xml:space="preserve">&lt;tr class='weekend'&gt;&lt;td&gt;17日(日)&lt;/td&gt;&lt;td&gt; </v>
      </c>
      <c r="P18" t="str">
        <f t="shared" si="10"/>
        <v>&lt;tr class='weekend'&gt;&lt;td&gt;17日(日)&lt;/td&gt;&lt;td&gt; &lt;span class='event_font'&gt;&amp;nbsp&amp;nbspセット料金半額DAY!&lt;/span&gt;&lt;/td&gt;&lt;/tr&gt;</v>
      </c>
      <c r="Q18" s="13">
        <f t="shared" si="6"/>
        <v>17</v>
      </c>
      <c r="R18" t="s">
        <v>143</v>
      </c>
    </row>
    <row r="19" spans="1:18" ht="18" x14ac:dyDescent="0.2">
      <c r="A19" s="8" t="s">
        <v>203</v>
      </c>
      <c r="B19" s="2">
        <v>1</v>
      </c>
      <c r="C19" s="2">
        <v>5</v>
      </c>
      <c r="D19" s="2" t="str">
        <f t="shared" si="7"/>
        <v>18日</v>
      </c>
      <c r="E19" s="2" t="str">
        <f t="shared" si="3"/>
        <v xml:space="preserve">18日(月) </v>
      </c>
      <c r="F19" s="2">
        <v>6</v>
      </c>
      <c r="G19" s="2">
        <v>1</v>
      </c>
      <c r="H19" s="2" t="s">
        <v>37</v>
      </c>
      <c r="I19" s="2" t="str">
        <f t="shared" si="8"/>
        <v xml:space="preserve">18日(月)&lt;/td&gt;&lt;td&gt; </v>
      </c>
      <c r="J19" s="2">
        <v>5</v>
      </c>
      <c r="K19" s="2">
        <v>1</v>
      </c>
      <c r="L19" s="2" t="s">
        <v>37</v>
      </c>
      <c r="M19" s="2" t="str">
        <f t="shared" si="5"/>
        <v>月</v>
      </c>
      <c r="O19" s="2" t="str">
        <f t="shared" si="9"/>
        <v xml:space="preserve">&lt;tr&gt;&lt;td&gt;18日(月)&lt;/td&gt;&lt;td&gt; </v>
      </c>
      <c r="P19" t="str">
        <f t="shared" si="10"/>
        <v>&lt;tr&gt;&lt;td&gt;18日(月)&lt;/td&gt;&lt;td&gt; &lt;/td&gt;&lt;/tr&gt;</v>
      </c>
      <c r="Q19" s="13">
        <f t="shared" si="6"/>
        <v>18</v>
      </c>
      <c r="R19" t="s">
        <v>144</v>
      </c>
    </row>
    <row r="20" spans="1:18" ht="18" x14ac:dyDescent="0.2">
      <c r="A20" s="8" t="s">
        <v>204</v>
      </c>
      <c r="B20" s="2">
        <v>1</v>
      </c>
      <c r="C20" s="2">
        <v>5</v>
      </c>
      <c r="D20" s="2" t="str">
        <f t="shared" si="7"/>
        <v>19日</v>
      </c>
      <c r="E20" s="2" t="str">
        <f t="shared" si="3"/>
        <v xml:space="preserve">19日(火) </v>
      </c>
      <c r="F20" s="2">
        <v>6</v>
      </c>
      <c r="G20" s="2">
        <v>1</v>
      </c>
      <c r="H20" s="2" t="s">
        <v>37</v>
      </c>
      <c r="I20" s="2" t="str">
        <f t="shared" si="8"/>
        <v xml:space="preserve">19日(火)&lt;/td&gt;&lt;td&gt; </v>
      </c>
      <c r="J20" s="2">
        <v>5</v>
      </c>
      <c r="K20" s="2">
        <v>1</v>
      </c>
      <c r="L20" s="2" t="s">
        <v>37</v>
      </c>
      <c r="M20" s="2" t="str">
        <f t="shared" si="5"/>
        <v>火</v>
      </c>
      <c r="O20" s="2" t="str">
        <f t="shared" si="9"/>
        <v xml:space="preserve">&lt;tr&gt;&lt;td&gt;19日(火)&lt;/td&gt;&lt;td&gt; </v>
      </c>
      <c r="P20" t="str">
        <f t="shared" si="10"/>
        <v>&lt;tr&gt;&lt;td&gt;19日(火)&lt;/td&gt;&lt;td&gt; &lt;/td&gt;&lt;/tr&gt;</v>
      </c>
      <c r="Q20" s="13">
        <f t="shared" si="6"/>
        <v>19</v>
      </c>
      <c r="R20" t="s">
        <v>145</v>
      </c>
    </row>
    <row r="21" spans="1:18" ht="18" x14ac:dyDescent="0.2">
      <c r="A21" s="8" t="s">
        <v>205</v>
      </c>
      <c r="B21" s="2">
        <v>1</v>
      </c>
      <c r="C21" s="2">
        <v>5</v>
      </c>
      <c r="D21" s="2" t="str">
        <f t="shared" si="7"/>
        <v>20日</v>
      </c>
      <c r="E21" s="2" t="str">
        <f t="shared" si="3"/>
        <v xml:space="preserve">20日(水) </v>
      </c>
      <c r="F21" s="2">
        <v>6</v>
      </c>
      <c r="G21" s="2">
        <v>1</v>
      </c>
      <c r="H21" s="2" t="s">
        <v>37</v>
      </c>
      <c r="I21" s="2" t="str">
        <f t="shared" si="8"/>
        <v xml:space="preserve">20日(水)&lt;/td&gt;&lt;td&gt; </v>
      </c>
      <c r="J21" s="2">
        <v>5</v>
      </c>
      <c r="K21" s="2">
        <v>1</v>
      </c>
      <c r="L21" s="2" t="s">
        <v>37</v>
      </c>
      <c r="M21" s="2" t="str">
        <f t="shared" si="5"/>
        <v>水</v>
      </c>
      <c r="O21" s="2" t="str">
        <f t="shared" si="9"/>
        <v xml:space="preserve">&lt;tr&gt;&lt;td&gt;20日(水)&lt;/td&gt;&lt;td&gt; </v>
      </c>
      <c r="P21" t="str">
        <f t="shared" si="10"/>
        <v>&lt;tr&gt;&lt;td&gt;20日(水)&lt;/td&gt;&lt;td&gt; &lt;/td&gt;&lt;/tr&gt;</v>
      </c>
      <c r="Q21" s="13">
        <f t="shared" si="6"/>
        <v>20</v>
      </c>
      <c r="R21" t="s">
        <v>146</v>
      </c>
    </row>
    <row r="22" spans="1:18" ht="18" x14ac:dyDescent="0.2">
      <c r="A22" s="8" t="s">
        <v>206</v>
      </c>
      <c r="B22" s="2">
        <v>1</v>
      </c>
      <c r="C22" s="2">
        <v>5</v>
      </c>
      <c r="D22" s="2" t="str">
        <f t="shared" si="7"/>
        <v>21日</v>
      </c>
      <c r="E22" s="2" t="str">
        <f t="shared" si="3"/>
        <v xml:space="preserve">21日(木) </v>
      </c>
      <c r="F22" s="2">
        <v>6</v>
      </c>
      <c r="G22" s="2">
        <v>1</v>
      </c>
      <c r="H22" s="2" t="s">
        <v>37</v>
      </c>
      <c r="I22" s="2" t="str">
        <f t="shared" si="8"/>
        <v xml:space="preserve">21日(木)&lt;/td&gt;&lt;td&gt; </v>
      </c>
      <c r="J22" s="2">
        <v>5</v>
      </c>
      <c r="K22" s="2">
        <v>1</v>
      </c>
      <c r="L22" s="2" t="s">
        <v>37</v>
      </c>
      <c r="M22" s="2" t="str">
        <f t="shared" si="5"/>
        <v>木</v>
      </c>
      <c r="O22" s="2" t="str">
        <f t="shared" si="9"/>
        <v xml:space="preserve">&lt;tr&gt;&lt;td&gt;21日(木)&lt;/td&gt;&lt;td&gt; </v>
      </c>
      <c r="P22" t="str">
        <f t="shared" si="10"/>
        <v>&lt;tr&gt;&lt;td&gt;21日(木)&lt;/td&gt;&lt;td&gt; &lt;/td&gt;&lt;/tr&gt;</v>
      </c>
      <c r="Q22" s="13">
        <f t="shared" si="6"/>
        <v>21</v>
      </c>
      <c r="R22" t="s">
        <v>107</v>
      </c>
    </row>
    <row r="23" spans="1:18" ht="18" x14ac:dyDescent="0.2">
      <c r="A23" s="8" t="s">
        <v>207</v>
      </c>
      <c r="B23" s="2">
        <v>1</v>
      </c>
      <c r="C23" s="2">
        <v>5</v>
      </c>
      <c r="D23" s="2" t="str">
        <f t="shared" si="7"/>
        <v>22日</v>
      </c>
      <c r="E23" s="2" t="str">
        <f t="shared" si="3"/>
        <v>22日(金) 密</v>
      </c>
      <c r="F23" s="2">
        <v>6</v>
      </c>
      <c r="G23" s="2">
        <v>1</v>
      </c>
      <c r="H23" s="2" t="s">
        <v>37</v>
      </c>
      <c r="I23" s="2" t="str">
        <f t="shared" si="8"/>
        <v>22日(金)&lt;/td&gt;&lt;td&gt; 密</v>
      </c>
      <c r="J23" s="2">
        <v>5</v>
      </c>
      <c r="K23" s="2">
        <v>1</v>
      </c>
      <c r="L23" s="2" t="s">
        <v>37</v>
      </c>
      <c r="M23" s="2" t="str">
        <f t="shared" si="5"/>
        <v>金</v>
      </c>
      <c r="O23" s="2" t="str">
        <f t="shared" si="9"/>
        <v>&lt;tr&gt;&lt;td&gt;22日(金)&lt;/td&gt;&lt;td&gt; 密</v>
      </c>
      <c r="P23" t="str">
        <f t="shared" si="10"/>
        <v>&lt;tr&gt;&lt;td&gt;22日(金)&lt;/td&gt;&lt;td&gt; 密&lt;/td&gt;&lt;/tr&gt;</v>
      </c>
      <c r="Q23" s="13">
        <f t="shared" si="6"/>
        <v>22</v>
      </c>
      <c r="R23" t="s">
        <v>141</v>
      </c>
    </row>
    <row r="24" spans="1:18" ht="18" x14ac:dyDescent="0.2">
      <c r="A24" s="8" t="s">
        <v>208</v>
      </c>
      <c r="B24" s="2">
        <v>1</v>
      </c>
      <c r="C24" s="2">
        <v>5</v>
      </c>
      <c r="D24" s="2" t="str">
        <f t="shared" si="7"/>
        <v>23日</v>
      </c>
      <c r="E24" s="2" t="str">
        <f t="shared" si="3"/>
        <v>23日(土) 美咲</v>
      </c>
      <c r="F24" s="2">
        <v>6</v>
      </c>
      <c r="G24" s="2">
        <v>1</v>
      </c>
      <c r="H24" s="2" t="s">
        <v>37</v>
      </c>
      <c r="I24" s="2" t="str">
        <f t="shared" si="8"/>
        <v>23日(土)&lt;/td&gt;&lt;td&gt; 美咲</v>
      </c>
      <c r="J24" s="2">
        <v>5</v>
      </c>
      <c r="K24" s="2">
        <v>1</v>
      </c>
      <c r="L24" s="2" t="s">
        <v>37</v>
      </c>
      <c r="M24" s="2" t="str">
        <f t="shared" si="5"/>
        <v>土</v>
      </c>
      <c r="O24" s="2" t="str">
        <f t="shared" si="9"/>
        <v>&lt;tr class='weekend'&gt;&lt;td&gt;23日(土)&lt;/td&gt;&lt;td&gt; 美咲</v>
      </c>
      <c r="P24" t="str">
        <f t="shared" si="10"/>
        <v>&lt;tr class='weekend'&gt;&lt;td&gt;23日(土)&lt;/td&gt;&lt;td&gt; 美咲&lt;/td&gt;&lt;/tr&gt;</v>
      </c>
      <c r="Q24" s="13">
        <f t="shared" si="6"/>
        <v>23</v>
      </c>
      <c r="R24" t="s">
        <v>142</v>
      </c>
    </row>
    <row r="25" spans="1:18" ht="18" x14ac:dyDescent="0.2">
      <c r="A25" s="8" t="s">
        <v>209</v>
      </c>
      <c r="B25" s="2">
        <v>1</v>
      </c>
      <c r="C25" s="2">
        <v>5</v>
      </c>
      <c r="D25" s="2" t="str">
        <f t="shared" si="7"/>
        <v>24日</v>
      </c>
      <c r="E25" s="2" t="str">
        <f t="shared" si="3"/>
        <v xml:space="preserve">24日(日) </v>
      </c>
      <c r="F25" s="2">
        <v>6</v>
      </c>
      <c r="G25" s="2">
        <v>1</v>
      </c>
      <c r="H25" s="2" t="s">
        <v>37</v>
      </c>
      <c r="I25" s="2" t="str">
        <f t="shared" si="8"/>
        <v xml:space="preserve">24日(日)&lt;/td&gt;&lt;td&gt; </v>
      </c>
      <c r="J25" s="2">
        <v>5</v>
      </c>
      <c r="K25" s="2">
        <v>1</v>
      </c>
      <c r="L25" s="2" t="s">
        <v>37</v>
      </c>
      <c r="M25" s="2" t="str">
        <f t="shared" si="5"/>
        <v>日</v>
      </c>
      <c r="O25" s="2" t="str">
        <f t="shared" si="9"/>
        <v xml:space="preserve">&lt;tr class='weekend'&gt;&lt;td&gt;24日(日)&lt;/td&gt;&lt;td&gt; </v>
      </c>
      <c r="P25" t="str">
        <f t="shared" si="10"/>
        <v>&lt;tr class='weekend'&gt;&lt;td&gt;24日(日)&lt;/td&gt;&lt;td&gt; &lt;span class='event_font'&gt;&amp;nbsp&amp;nbspセット料金半額DAY!&lt;/span&gt;&lt;/td&gt;&lt;/tr&gt;</v>
      </c>
      <c r="Q25" s="13">
        <f t="shared" si="6"/>
        <v>24</v>
      </c>
      <c r="R25" t="s">
        <v>143</v>
      </c>
    </row>
    <row r="26" spans="1:18" ht="18" x14ac:dyDescent="0.2">
      <c r="A26" s="8" t="s">
        <v>210</v>
      </c>
      <c r="B26" s="2">
        <v>1</v>
      </c>
      <c r="C26" s="2">
        <v>5</v>
      </c>
      <c r="D26" s="2" t="str">
        <f t="shared" si="7"/>
        <v>25日</v>
      </c>
      <c r="E26" s="2" t="str">
        <f t="shared" si="3"/>
        <v xml:space="preserve">25日(月) </v>
      </c>
      <c r="F26" s="2">
        <v>6</v>
      </c>
      <c r="G26" s="2">
        <v>1</v>
      </c>
      <c r="H26" s="2" t="s">
        <v>37</v>
      </c>
      <c r="I26" s="2" t="str">
        <f t="shared" si="8"/>
        <v xml:space="preserve">25日(月)&lt;/td&gt;&lt;td&gt; </v>
      </c>
      <c r="J26" s="2">
        <v>5</v>
      </c>
      <c r="K26" s="2">
        <v>1</v>
      </c>
      <c r="L26" s="2" t="s">
        <v>37</v>
      </c>
      <c r="M26" s="2" t="str">
        <f t="shared" si="5"/>
        <v>月</v>
      </c>
      <c r="O26" s="2" t="str">
        <f t="shared" si="9"/>
        <v xml:space="preserve">&lt;tr&gt;&lt;td&gt;25日(月)&lt;/td&gt;&lt;td&gt; </v>
      </c>
      <c r="P26" t="str">
        <f t="shared" si="10"/>
        <v>&lt;tr&gt;&lt;td&gt;25日(月)&lt;/td&gt;&lt;td&gt; &lt;/td&gt;&lt;/tr&gt;</v>
      </c>
      <c r="Q26" s="13">
        <f t="shared" si="6"/>
        <v>25</v>
      </c>
      <c r="R26" t="s">
        <v>144</v>
      </c>
    </row>
    <row r="27" spans="1:18" ht="18" x14ac:dyDescent="0.2">
      <c r="A27" s="8" t="s">
        <v>211</v>
      </c>
      <c r="B27" s="2">
        <v>1</v>
      </c>
      <c r="C27" s="2">
        <v>5</v>
      </c>
      <c r="D27" s="2" t="str">
        <f t="shared" si="7"/>
        <v>26日</v>
      </c>
      <c r="E27" s="2" t="str">
        <f t="shared" si="3"/>
        <v xml:space="preserve">26日(火) </v>
      </c>
      <c r="F27" s="2">
        <v>6</v>
      </c>
      <c r="G27" s="2">
        <v>1</v>
      </c>
      <c r="H27" s="2" t="s">
        <v>37</v>
      </c>
      <c r="I27" s="2" t="str">
        <f t="shared" si="8"/>
        <v xml:space="preserve">26日(火)&lt;/td&gt;&lt;td&gt; </v>
      </c>
      <c r="J27" s="2">
        <v>5</v>
      </c>
      <c r="K27" s="2">
        <v>1</v>
      </c>
      <c r="L27" s="2" t="s">
        <v>37</v>
      </c>
      <c r="M27" s="2" t="str">
        <f t="shared" si="5"/>
        <v>火</v>
      </c>
      <c r="O27" s="2" t="str">
        <f t="shared" si="9"/>
        <v xml:space="preserve">&lt;tr&gt;&lt;td&gt;26日(火)&lt;/td&gt;&lt;td&gt; </v>
      </c>
      <c r="P27" t="str">
        <f t="shared" si="10"/>
        <v>&lt;tr&gt;&lt;td&gt;26日(火)&lt;/td&gt;&lt;td&gt; &lt;/td&gt;&lt;/tr&gt;</v>
      </c>
      <c r="Q27" s="13">
        <f t="shared" si="6"/>
        <v>26</v>
      </c>
      <c r="R27" t="s">
        <v>145</v>
      </c>
    </row>
    <row r="28" spans="1:18" ht="18" x14ac:dyDescent="0.2">
      <c r="A28" s="8" t="s">
        <v>212</v>
      </c>
      <c r="B28" s="2">
        <v>1</v>
      </c>
      <c r="C28" s="2">
        <v>5</v>
      </c>
      <c r="D28" s="2" t="str">
        <f t="shared" si="7"/>
        <v>27日</v>
      </c>
      <c r="E28" s="2" t="str">
        <f t="shared" si="3"/>
        <v xml:space="preserve">27日(水) </v>
      </c>
      <c r="F28" s="2">
        <v>6</v>
      </c>
      <c r="G28" s="2">
        <v>1</v>
      </c>
      <c r="H28" s="2" t="s">
        <v>37</v>
      </c>
      <c r="I28" s="2" t="str">
        <f t="shared" si="8"/>
        <v xml:space="preserve">27日(水)&lt;/td&gt;&lt;td&gt; </v>
      </c>
      <c r="J28" s="2">
        <v>5</v>
      </c>
      <c r="K28" s="2">
        <v>1</v>
      </c>
      <c r="L28" s="2" t="s">
        <v>37</v>
      </c>
      <c r="M28" s="2" t="str">
        <f t="shared" si="5"/>
        <v>水</v>
      </c>
      <c r="O28" s="2" t="str">
        <f t="shared" si="9"/>
        <v xml:space="preserve">&lt;tr&gt;&lt;td&gt;27日(水)&lt;/td&gt;&lt;td&gt; </v>
      </c>
      <c r="P28" t="str">
        <f t="shared" si="10"/>
        <v>&lt;tr&gt;&lt;td&gt;27日(水)&lt;/td&gt;&lt;td&gt; &lt;/td&gt;&lt;/tr&gt;</v>
      </c>
      <c r="Q28" s="13">
        <f t="shared" si="6"/>
        <v>27</v>
      </c>
      <c r="R28" t="s">
        <v>146</v>
      </c>
    </row>
    <row r="29" spans="1:18" ht="18" x14ac:dyDescent="0.2">
      <c r="A29" s="8" t="s">
        <v>213</v>
      </c>
      <c r="B29" s="2">
        <v>1</v>
      </c>
      <c r="C29" s="2">
        <v>5</v>
      </c>
      <c r="D29" s="2" t="str">
        <f t="shared" si="7"/>
        <v>28日</v>
      </c>
      <c r="E29" s="2" t="str">
        <f t="shared" si="3"/>
        <v xml:space="preserve">28日(木) </v>
      </c>
      <c r="F29" s="2">
        <v>6</v>
      </c>
      <c r="G29" s="2">
        <v>1</v>
      </c>
      <c r="H29" s="2" t="s">
        <v>37</v>
      </c>
      <c r="I29" s="2" t="str">
        <f t="shared" si="8"/>
        <v xml:space="preserve">28日(木)&lt;/td&gt;&lt;td&gt; </v>
      </c>
      <c r="J29" s="2">
        <v>5</v>
      </c>
      <c r="K29" s="2">
        <v>1</v>
      </c>
      <c r="L29" s="2" t="s">
        <v>37</v>
      </c>
      <c r="M29" s="2" t="str">
        <f t="shared" si="5"/>
        <v>木</v>
      </c>
      <c r="O29" s="2" t="str">
        <f t="shared" si="9"/>
        <v xml:space="preserve">&lt;tr&gt;&lt;td&gt;28日(木)&lt;/td&gt;&lt;td&gt; </v>
      </c>
      <c r="P29" t="str">
        <f t="shared" si="10"/>
        <v>&lt;tr&gt;&lt;td&gt;28日(木)&lt;/td&gt;&lt;td&gt; &lt;/td&gt;&lt;/tr&gt;</v>
      </c>
      <c r="Q29" s="13">
        <f t="shared" si="6"/>
        <v>28</v>
      </c>
      <c r="R29" t="s">
        <v>107</v>
      </c>
    </row>
    <row r="30" spans="1:18" ht="18" x14ac:dyDescent="0.2">
      <c r="A30" s="8" t="s">
        <v>214</v>
      </c>
      <c r="B30" s="2">
        <v>1</v>
      </c>
      <c r="C30" s="2">
        <v>5</v>
      </c>
      <c r="D30" s="2" t="str">
        <f t="shared" si="7"/>
        <v>29日</v>
      </c>
      <c r="E30" s="2" t="str">
        <f t="shared" si="3"/>
        <v>29日(金) 密</v>
      </c>
      <c r="F30" s="2">
        <v>6</v>
      </c>
      <c r="G30" s="2">
        <v>1</v>
      </c>
      <c r="H30" s="2" t="s">
        <v>37</v>
      </c>
      <c r="I30" s="2" t="str">
        <f t="shared" si="8"/>
        <v>29日(金)&lt;/td&gt;&lt;td&gt; 密</v>
      </c>
      <c r="J30" s="2">
        <v>5</v>
      </c>
      <c r="K30" s="2">
        <v>1</v>
      </c>
      <c r="L30" s="2" t="s">
        <v>37</v>
      </c>
      <c r="M30" s="2" t="str">
        <f t="shared" si="5"/>
        <v>金</v>
      </c>
      <c r="O30" s="2" t="str">
        <f t="shared" si="9"/>
        <v>&lt;tr&gt;&lt;td&gt;29日(金)&lt;/td&gt;&lt;td&gt; 密</v>
      </c>
      <c r="P30" t="str">
        <f t="shared" si="10"/>
        <v>&lt;tr&gt;&lt;td&gt;29日(金)&lt;/td&gt;&lt;td&gt; 密&lt;/td&gt;&lt;/tr&gt;</v>
      </c>
      <c r="Q30" s="13">
        <f t="shared" si="6"/>
        <v>29</v>
      </c>
      <c r="R30" t="s">
        <v>141</v>
      </c>
    </row>
    <row r="31" spans="1:18" ht="18" x14ac:dyDescent="0.2">
      <c r="A31" s="8" t="s">
        <v>215</v>
      </c>
      <c r="B31" s="2">
        <v>1</v>
      </c>
      <c r="C31" s="2">
        <v>5</v>
      </c>
      <c r="D31" s="2" t="str">
        <f t="shared" si="7"/>
        <v>30日</v>
      </c>
      <c r="E31" s="2" t="str">
        <f t="shared" si="3"/>
        <v xml:space="preserve">30日(土) </v>
      </c>
      <c r="F31" s="2">
        <v>6</v>
      </c>
      <c r="G31" s="2">
        <v>1</v>
      </c>
      <c r="H31" s="2" t="s">
        <v>37</v>
      </c>
      <c r="I31" s="2" t="str">
        <f t="shared" si="8"/>
        <v xml:space="preserve">30日(土)&lt;/td&gt;&lt;td&gt; </v>
      </c>
      <c r="J31" s="2">
        <v>5</v>
      </c>
      <c r="K31" s="2">
        <v>1</v>
      </c>
      <c r="L31" s="2" t="s">
        <v>37</v>
      </c>
      <c r="M31" s="2" t="str">
        <f t="shared" si="5"/>
        <v>土</v>
      </c>
      <c r="O31" s="2" t="str">
        <f t="shared" si="9"/>
        <v xml:space="preserve">&lt;tr class='weekend'&gt;&lt;td&gt;30日(土)&lt;/td&gt;&lt;td&gt; </v>
      </c>
      <c r="P31" t="str">
        <f t="shared" si="10"/>
        <v>&lt;tr class='weekend'&gt;&lt;td&gt;30日(土)&lt;/td&gt;&lt;td&gt; &lt;/td&gt;&lt;/tr&gt;</v>
      </c>
      <c r="Q31" s="13">
        <f t="shared" si="6"/>
        <v>30</v>
      </c>
      <c r="R31" t="s">
        <v>142</v>
      </c>
    </row>
    <row r="32" spans="1:18" ht="18" x14ac:dyDescent="0.2">
      <c r="A32" s="8" t="s">
        <v>216</v>
      </c>
      <c r="B32" s="2">
        <v>1</v>
      </c>
      <c r="C32" s="2">
        <v>5</v>
      </c>
      <c r="D32" s="2" t="str">
        <f t="shared" si="7"/>
        <v>31日</v>
      </c>
      <c r="E32" s="2" t="str">
        <f t="shared" si="3"/>
        <v xml:space="preserve">31日(日) </v>
      </c>
      <c r="F32" s="2">
        <v>6</v>
      </c>
      <c r="G32" s="2">
        <v>1</v>
      </c>
      <c r="H32" s="2" t="s">
        <v>37</v>
      </c>
      <c r="I32" s="2" t="str">
        <f t="shared" si="8"/>
        <v xml:space="preserve">31日(日)&lt;/td&gt;&lt;td&gt; </v>
      </c>
      <c r="J32" s="2">
        <v>5</v>
      </c>
      <c r="K32" s="2">
        <v>1</v>
      </c>
      <c r="L32" s="2" t="s">
        <v>37</v>
      </c>
      <c r="M32" s="2" t="str">
        <f t="shared" si="5"/>
        <v>日</v>
      </c>
      <c r="O32" s="2" t="str">
        <f t="shared" si="9"/>
        <v xml:space="preserve">&lt;tr class='weekend'&gt;&lt;td&gt;31日(日)&lt;/td&gt;&lt;td&gt; </v>
      </c>
      <c r="P32" t="str">
        <f t="shared" si="10"/>
        <v>&lt;tr class='weekend'&gt;&lt;td&gt;31日(日)&lt;/td&gt;&lt;td&gt; &lt;span class='event_font'&gt;&amp;nbsp&amp;nbspセット料金半額DAY!&lt;/span&gt;&lt;/td&gt;&lt;/tr&gt;</v>
      </c>
      <c r="Q32" s="13">
        <f t="shared" si="6"/>
        <v>31</v>
      </c>
      <c r="R32" t="s">
        <v>143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D26" sqref="D26"/>
    </sheetView>
  </sheetViews>
  <sheetFormatPr defaultRowHeight="13.2" x14ac:dyDescent="0.2"/>
  <cols>
    <col min="4" max="4" width="8.88671875" style="11"/>
  </cols>
  <sheetData>
    <row r="1" spans="1:5" x14ac:dyDescent="0.2">
      <c r="A1" t="s">
        <v>149</v>
      </c>
      <c r="B1" t="s">
        <v>142</v>
      </c>
      <c r="C1" t="s">
        <v>148</v>
      </c>
      <c r="E1" t="str">
        <f>"&lt;tr class='weekend'&gt;&lt;td&gt;"&amp;A1&amp;"("&amp;B1&amp;")&lt;/td&gt;&lt;td&gt; - &lt;/td&gt;&lt;/tr&gt;"</f>
        <v>&lt;tr class='weekend'&gt;&lt;td&gt;1日(水)&lt;/td&gt;&lt;td&gt; - &lt;/td&gt;&lt;/tr&gt;</v>
      </c>
    </row>
    <row r="2" spans="1:5" x14ac:dyDescent="0.2">
      <c r="A2" t="s">
        <v>150</v>
      </c>
      <c r="B2" t="s">
        <v>143</v>
      </c>
      <c r="C2" t="s">
        <v>148</v>
      </c>
      <c r="E2" t="str">
        <f t="shared" ref="E2:E5" si="0">"&lt;tr class='weekend'&gt;&lt;td&gt;"&amp;A2&amp;"("&amp;B2&amp;")&lt;/td&gt;&lt;td&gt; - &lt;/td&gt;&lt;/tr&gt;"</f>
        <v>&lt;tr class='weekend'&gt;&lt;td&gt;2日(木)&lt;/td&gt;&lt;td&gt; - &lt;/td&gt;&lt;/tr&gt;</v>
      </c>
    </row>
    <row r="3" spans="1:5" x14ac:dyDescent="0.2">
      <c r="A3" t="s">
        <v>151</v>
      </c>
      <c r="B3" t="s">
        <v>144</v>
      </c>
      <c r="C3" t="s">
        <v>148</v>
      </c>
      <c r="E3" t="str">
        <f t="shared" si="0"/>
        <v>&lt;tr class='weekend'&gt;&lt;td&gt;3日(金)&lt;/td&gt;&lt;td&gt; - &lt;/td&gt;&lt;/tr&gt;</v>
      </c>
    </row>
    <row r="4" spans="1:5" x14ac:dyDescent="0.2">
      <c r="A4" t="s">
        <v>152</v>
      </c>
      <c r="B4" t="s">
        <v>145</v>
      </c>
      <c r="C4" t="s">
        <v>148</v>
      </c>
      <c r="E4" t="str">
        <f t="shared" si="0"/>
        <v>&lt;tr class='weekend'&gt;&lt;td&gt;4日(土)&lt;/td&gt;&lt;td&gt; - &lt;/td&gt;&lt;/tr&gt;</v>
      </c>
    </row>
    <row r="5" spans="1:5" x14ac:dyDescent="0.2">
      <c r="A5" t="s">
        <v>153</v>
      </c>
      <c r="B5" t="s">
        <v>146</v>
      </c>
      <c r="C5" t="s">
        <v>148</v>
      </c>
      <c r="E5" t="str">
        <f t="shared" si="0"/>
        <v>&lt;tr class='weekend'&gt;&lt;td&gt;5日(日)&lt;/td&gt;&lt;td&gt; - &lt;/td&gt;&lt;/tr&gt;</v>
      </c>
    </row>
    <row r="6" spans="1:5" x14ac:dyDescent="0.2">
      <c r="A6" t="s">
        <v>154</v>
      </c>
      <c r="B6" t="s">
        <v>107</v>
      </c>
      <c r="C6" t="s">
        <v>148</v>
      </c>
      <c r="E6" t="str">
        <f>"&lt;tr&gt;&lt;td&gt;"&amp;A6&amp;"("&amp;B6&amp;")&lt;/td&gt;&lt;td&gt; - &lt;/td&gt;&lt;/tr&gt;"</f>
        <v>&lt;tr&gt;&lt;td&gt;6日(月)&lt;/td&gt;&lt;td&gt; - &lt;/td&gt;&lt;/tr&gt;</v>
      </c>
    </row>
    <row r="7" spans="1:5" x14ac:dyDescent="0.2">
      <c r="A7" t="s">
        <v>155</v>
      </c>
      <c r="B7" t="s">
        <v>141</v>
      </c>
      <c r="C7" t="s">
        <v>148</v>
      </c>
      <c r="E7" t="str">
        <f>"&lt;tr&gt;&lt;td&gt;"&amp;A7&amp;"("&amp;B7&amp;")&lt;/td&gt;&lt;td&gt; - &lt;/td&gt;&lt;/tr&gt;"</f>
        <v>&lt;tr&gt;&lt;td&gt;7日(火)&lt;/td&gt;&lt;td&gt; - &lt;/td&gt;&lt;/tr&gt;</v>
      </c>
    </row>
    <row r="8" spans="1:5" x14ac:dyDescent="0.2">
      <c r="A8" t="s">
        <v>156</v>
      </c>
      <c r="B8" t="s">
        <v>142</v>
      </c>
      <c r="C8" t="s">
        <v>148</v>
      </c>
      <c r="E8" t="str">
        <f t="shared" ref="E8:E9" si="1">"&lt;tr class='weekend'&gt;&lt;td&gt;"&amp;A8&amp;"("&amp;B8&amp;")&lt;/td&gt;&lt;td&gt; - &lt;/td&gt;&lt;/tr&gt;"</f>
        <v>&lt;tr class='weekend'&gt;&lt;td&gt;8日(水)&lt;/td&gt;&lt;td&gt; - &lt;/td&gt;&lt;/tr&gt;</v>
      </c>
    </row>
    <row r="9" spans="1:5" x14ac:dyDescent="0.2">
      <c r="A9" t="s">
        <v>157</v>
      </c>
      <c r="B9" t="s">
        <v>143</v>
      </c>
      <c r="C9" t="s">
        <v>148</v>
      </c>
      <c r="E9" t="str">
        <f t="shared" si="1"/>
        <v>&lt;tr class='weekend'&gt;&lt;td&gt;9日(木)&lt;/td&gt;&lt;td&gt; - &lt;/td&gt;&lt;/tr&gt;</v>
      </c>
    </row>
    <row r="10" spans="1:5" x14ac:dyDescent="0.2">
      <c r="A10" t="s">
        <v>158</v>
      </c>
      <c r="B10" t="s">
        <v>144</v>
      </c>
      <c r="C10" t="s">
        <v>148</v>
      </c>
      <c r="E10" t="str">
        <f t="shared" ref="E10:E14" si="2">"&lt;tr&gt;&lt;td&gt;"&amp;A10&amp;"("&amp;B10&amp;")&lt;/td&gt;&lt;td&gt; - &lt;/td&gt;&lt;/tr&gt;"</f>
        <v>&lt;tr&gt;&lt;td&gt;10日(金)&lt;/td&gt;&lt;td&gt; - &lt;/td&gt;&lt;/tr&gt;</v>
      </c>
    </row>
    <row r="11" spans="1:5" x14ac:dyDescent="0.2">
      <c r="A11" t="s">
        <v>159</v>
      </c>
      <c r="B11" t="s">
        <v>145</v>
      </c>
      <c r="C11" t="s">
        <v>148</v>
      </c>
      <c r="E11" t="str">
        <f t="shared" si="2"/>
        <v>&lt;tr&gt;&lt;td&gt;11日(土)&lt;/td&gt;&lt;td&gt; - &lt;/td&gt;&lt;/tr&gt;</v>
      </c>
    </row>
    <row r="12" spans="1:5" x14ac:dyDescent="0.2">
      <c r="A12" t="s">
        <v>160</v>
      </c>
      <c r="B12" t="s">
        <v>146</v>
      </c>
      <c r="C12" t="s">
        <v>148</v>
      </c>
      <c r="E12" t="str">
        <f t="shared" si="2"/>
        <v>&lt;tr&gt;&lt;td&gt;12日(日)&lt;/td&gt;&lt;td&gt; - &lt;/td&gt;&lt;/tr&gt;</v>
      </c>
    </row>
    <row r="13" spans="1:5" x14ac:dyDescent="0.2">
      <c r="A13" t="s">
        <v>161</v>
      </c>
      <c r="B13" t="s">
        <v>107</v>
      </c>
      <c r="C13" t="s">
        <v>148</v>
      </c>
      <c r="E13" t="str">
        <f t="shared" si="2"/>
        <v>&lt;tr&gt;&lt;td&gt;13日(月)&lt;/td&gt;&lt;td&gt; - &lt;/td&gt;&lt;/tr&gt;</v>
      </c>
    </row>
    <row r="14" spans="1:5" x14ac:dyDescent="0.2">
      <c r="A14" t="s">
        <v>162</v>
      </c>
      <c r="B14" t="s">
        <v>141</v>
      </c>
      <c r="C14" t="s">
        <v>148</v>
      </c>
      <c r="E14" t="str">
        <f t="shared" si="2"/>
        <v>&lt;tr&gt;&lt;td&gt;14日(火)&lt;/td&gt;&lt;td&gt; - &lt;/td&gt;&lt;/tr&gt;</v>
      </c>
    </row>
    <row r="15" spans="1:5" x14ac:dyDescent="0.2">
      <c r="A15" t="s">
        <v>163</v>
      </c>
      <c r="B15" t="s">
        <v>142</v>
      </c>
      <c r="C15" t="s">
        <v>148</v>
      </c>
      <c r="E15" t="str">
        <f t="shared" ref="E15:E16" si="3">"&lt;tr class='weekend'&gt;&lt;td&gt;"&amp;A15&amp;"("&amp;B15&amp;")&lt;/td&gt;&lt;td&gt; - &lt;/td&gt;&lt;/tr&gt;"</f>
        <v>&lt;tr class='weekend'&gt;&lt;td&gt;15日(水)&lt;/td&gt;&lt;td&gt; - &lt;/td&gt;&lt;/tr&gt;</v>
      </c>
    </row>
    <row r="16" spans="1:5" x14ac:dyDescent="0.2">
      <c r="A16" t="s">
        <v>164</v>
      </c>
      <c r="B16" t="s">
        <v>143</v>
      </c>
      <c r="C16" t="s">
        <v>148</v>
      </c>
      <c r="E16" t="str">
        <f t="shared" si="3"/>
        <v>&lt;tr class='weekend'&gt;&lt;td&gt;16日(木)&lt;/td&gt;&lt;td&gt; - &lt;/td&gt;&lt;/tr&gt;</v>
      </c>
    </row>
    <row r="17" spans="1:5" x14ac:dyDescent="0.2">
      <c r="A17" t="s">
        <v>165</v>
      </c>
      <c r="B17" t="s">
        <v>144</v>
      </c>
      <c r="C17" t="s">
        <v>148</v>
      </c>
      <c r="E17" t="str">
        <f t="shared" ref="E17:E21" si="4">"&lt;tr&gt;&lt;td&gt;"&amp;A17&amp;"("&amp;B17&amp;")&lt;/td&gt;&lt;td&gt; - &lt;/td&gt;&lt;/tr&gt;"</f>
        <v>&lt;tr&gt;&lt;td&gt;17日(金)&lt;/td&gt;&lt;td&gt; - &lt;/td&gt;&lt;/tr&gt;</v>
      </c>
    </row>
    <row r="18" spans="1:5" x14ac:dyDescent="0.2">
      <c r="A18" t="s">
        <v>166</v>
      </c>
      <c r="B18" t="s">
        <v>145</v>
      </c>
      <c r="C18" t="s">
        <v>148</v>
      </c>
      <c r="E18" t="str">
        <f t="shared" si="4"/>
        <v>&lt;tr&gt;&lt;td&gt;18日(土)&lt;/td&gt;&lt;td&gt; - &lt;/td&gt;&lt;/tr&gt;</v>
      </c>
    </row>
    <row r="19" spans="1:5" x14ac:dyDescent="0.2">
      <c r="A19" t="s">
        <v>167</v>
      </c>
      <c r="B19" t="s">
        <v>146</v>
      </c>
      <c r="C19" t="s">
        <v>148</v>
      </c>
      <c r="E19" t="str">
        <f t="shared" si="4"/>
        <v>&lt;tr&gt;&lt;td&gt;19日(日)&lt;/td&gt;&lt;td&gt; - &lt;/td&gt;&lt;/tr&gt;</v>
      </c>
    </row>
    <row r="20" spans="1:5" x14ac:dyDescent="0.2">
      <c r="A20" t="s">
        <v>168</v>
      </c>
      <c r="B20" t="s">
        <v>107</v>
      </c>
      <c r="C20" t="s">
        <v>148</v>
      </c>
      <c r="E20" t="str">
        <f t="shared" si="4"/>
        <v>&lt;tr&gt;&lt;td&gt;20日(月)&lt;/td&gt;&lt;td&gt; - &lt;/td&gt;&lt;/tr&gt;</v>
      </c>
    </row>
    <row r="21" spans="1:5" x14ac:dyDescent="0.2">
      <c r="A21" t="s">
        <v>169</v>
      </c>
      <c r="B21" t="s">
        <v>141</v>
      </c>
      <c r="C21" t="s">
        <v>148</v>
      </c>
      <c r="E21" t="str">
        <f t="shared" si="4"/>
        <v>&lt;tr&gt;&lt;td&gt;21日(火)&lt;/td&gt;&lt;td&gt; - &lt;/td&gt;&lt;/tr&gt;</v>
      </c>
    </row>
    <row r="22" spans="1:5" x14ac:dyDescent="0.2">
      <c r="A22" t="s">
        <v>170</v>
      </c>
      <c r="B22" t="s">
        <v>142</v>
      </c>
      <c r="C22" t="s">
        <v>148</v>
      </c>
      <c r="E22" t="str">
        <f t="shared" ref="E22:E23" si="5">"&lt;tr class='weekend'&gt;&lt;td&gt;"&amp;A22&amp;"("&amp;B22&amp;")&lt;/td&gt;&lt;td&gt; - &lt;/td&gt;&lt;/tr&gt;"</f>
        <v>&lt;tr class='weekend'&gt;&lt;td&gt;22日(水)&lt;/td&gt;&lt;td&gt; - &lt;/td&gt;&lt;/tr&gt;</v>
      </c>
    </row>
    <row r="23" spans="1:5" x14ac:dyDescent="0.2">
      <c r="A23" t="s">
        <v>171</v>
      </c>
      <c r="B23" t="s">
        <v>143</v>
      </c>
      <c r="C23" t="s">
        <v>148</v>
      </c>
      <c r="E23" t="str">
        <f t="shared" si="5"/>
        <v>&lt;tr class='weekend'&gt;&lt;td&gt;23日(木)&lt;/td&gt;&lt;td&gt; - &lt;/td&gt;&lt;/tr&gt;</v>
      </c>
    </row>
    <row r="24" spans="1:5" x14ac:dyDescent="0.2">
      <c r="A24" t="s">
        <v>172</v>
      </c>
      <c r="B24" t="s">
        <v>144</v>
      </c>
      <c r="C24" t="s">
        <v>148</v>
      </c>
      <c r="E24" t="str">
        <f t="shared" ref="E24:E28" si="6">"&lt;tr&gt;&lt;td&gt;"&amp;A24&amp;"("&amp;B24&amp;")&lt;/td&gt;&lt;td&gt; - &lt;/td&gt;&lt;/tr&gt;"</f>
        <v>&lt;tr&gt;&lt;td&gt;24日(金)&lt;/td&gt;&lt;td&gt; - &lt;/td&gt;&lt;/tr&gt;</v>
      </c>
    </row>
    <row r="25" spans="1:5" x14ac:dyDescent="0.2">
      <c r="A25" t="s">
        <v>173</v>
      </c>
      <c r="B25" t="s">
        <v>145</v>
      </c>
      <c r="C25" t="s">
        <v>148</v>
      </c>
      <c r="E25" t="str">
        <f t="shared" si="6"/>
        <v>&lt;tr&gt;&lt;td&gt;25日(土)&lt;/td&gt;&lt;td&gt; - &lt;/td&gt;&lt;/tr&gt;</v>
      </c>
    </row>
    <row r="26" spans="1:5" x14ac:dyDescent="0.2">
      <c r="A26" t="s">
        <v>174</v>
      </c>
      <c r="B26" t="s">
        <v>146</v>
      </c>
      <c r="C26" t="s">
        <v>148</v>
      </c>
      <c r="E26" t="str">
        <f t="shared" si="6"/>
        <v>&lt;tr&gt;&lt;td&gt;26日(日)&lt;/td&gt;&lt;td&gt; - &lt;/td&gt;&lt;/tr&gt;</v>
      </c>
    </row>
    <row r="27" spans="1:5" x14ac:dyDescent="0.2">
      <c r="A27" t="s">
        <v>175</v>
      </c>
      <c r="B27" t="s">
        <v>107</v>
      </c>
      <c r="C27" t="s">
        <v>148</v>
      </c>
      <c r="E27" t="str">
        <f t="shared" si="6"/>
        <v>&lt;tr&gt;&lt;td&gt;27日(月)&lt;/td&gt;&lt;td&gt; - &lt;/td&gt;&lt;/tr&gt;</v>
      </c>
    </row>
    <row r="28" spans="1:5" x14ac:dyDescent="0.2">
      <c r="A28" t="s">
        <v>176</v>
      </c>
      <c r="B28" t="s">
        <v>141</v>
      </c>
      <c r="C28" t="s">
        <v>148</v>
      </c>
      <c r="E28" t="str">
        <f t="shared" si="6"/>
        <v>&lt;tr&gt;&lt;td&gt;28日(火)&lt;/td&gt;&lt;td&gt; - &lt;/td&gt;&lt;/tr&gt;</v>
      </c>
    </row>
    <row r="29" spans="1:5" x14ac:dyDescent="0.2">
      <c r="A29" t="s">
        <v>177</v>
      </c>
      <c r="B29" t="s">
        <v>142</v>
      </c>
      <c r="C29" t="s">
        <v>148</v>
      </c>
      <c r="E29" t="str">
        <f t="shared" ref="E29:E30" si="7">"&lt;tr class='weekend'&gt;&lt;td&gt;"&amp;A29&amp;"("&amp;B29&amp;")&lt;/td&gt;&lt;td&gt; - &lt;/td&gt;&lt;/tr&gt;"</f>
        <v>&lt;tr class='weekend'&gt;&lt;td&gt;29日(水)&lt;/td&gt;&lt;td&gt; - &lt;/td&gt;&lt;/tr&gt;</v>
      </c>
    </row>
    <row r="30" spans="1:5" x14ac:dyDescent="0.2">
      <c r="A30" t="s">
        <v>178</v>
      </c>
      <c r="B30" t="s">
        <v>143</v>
      </c>
      <c r="C30" t="s">
        <v>148</v>
      </c>
      <c r="E30" t="str">
        <f t="shared" si="7"/>
        <v>&lt;tr class='weekend'&gt;&lt;td&gt;30日(木)&lt;/td&gt;&lt;td&gt; - &lt;/td&gt;&lt;/tr&gt;</v>
      </c>
    </row>
    <row r="31" spans="1:5" x14ac:dyDescent="0.2">
      <c r="A31" t="s">
        <v>179</v>
      </c>
      <c r="B31" t="s">
        <v>144</v>
      </c>
      <c r="C31" t="s">
        <v>148</v>
      </c>
      <c r="E31" t="str">
        <f>"&lt;tr&gt;&lt;td&gt;"&amp;A31&amp;"("&amp;B31&amp;")&lt;/td&gt;&lt;td&gt; - &lt;/td&gt;&lt;/tr&gt;"</f>
        <v>&lt;tr&gt;&lt;td&gt;31日(金)&lt;/td&gt;&lt;td&gt;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1:I30"/>
  <sheetViews>
    <sheetView workbookViewId="0">
      <selection activeCell="N12" sqref="N12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1" spans="1:9" x14ac:dyDescent="0.2">
      <c r="A1" s="10" t="s">
        <v>181</v>
      </c>
    </row>
    <row r="3" spans="1:9" x14ac:dyDescent="0.2">
      <c r="A3" s="10" t="s">
        <v>182</v>
      </c>
      <c r="B3" s="10" t="s">
        <v>138</v>
      </c>
      <c r="C3" s="10" t="s">
        <v>130</v>
      </c>
      <c r="D3" s="10" t="s">
        <v>139</v>
      </c>
      <c r="E3" t="s">
        <v>108</v>
      </c>
      <c r="F3" s="10" t="s">
        <v>140</v>
      </c>
      <c r="G3" t="s">
        <v>147</v>
      </c>
      <c r="I3" t="str">
        <f>CONCATENATE(A3,B3,C3,D3,E3,F3,G3)</f>
        <v>=$A$1/01(月) 臨時休業</v>
      </c>
    </row>
    <row r="4" spans="1:9" x14ac:dyDescent="0.2">
      <c r="A4" s="10" t="s">
        <v>183</v>
      </c>
      <c r="B4" s="10" t="s">
        <v>138</v>
      </c>
      <c r="C4" s="10" t="s">
        <v>109</v>
      </c>
      <c r="D4" s="10" t="s">
        <v>139</v>
      </c>
      <c r="E4" t="s">
        <v>141</v>
      </c>
      <c r="F4" s="10" t="s">
        <v>140</v>
      </c>
      <c r="G4" t="s">
        <v>147</v>
      </c>
      <c r="I4" t="str">
        <f t="shared" ref="I4:I30" si="0">CONCATENATE(A4,B4,C4,D4,E4,F4,G4)</f>
        <v>=A1/02(火) 臨時休業</v>
      </c>
    </row>
    <row r="5" spans="1:9" x14ac:dyDescent="0.2">
      <c r="A5" s="10" t="s">
        <v>110</v>
      </c>
      <c r="B5" s="10" t="s">
        <v>138</v>
      </c>
      <c r="C5" s="10" t="s">
        <v>131</v>
      </c>
      <c r="D5" s="10" t="s">
        <v>139</v>
      </c>
      <c r="E5" t="s">
        <v>142</v>
      </c>
      <c r="F5" s="10" t="s">
        <v>140</v>
      </c>
      <c r="G5" t="s">
        <v>147</v>
      </c>
      <c r="I5" t="str">
        <f t="shared" si="0"/>
        <v>02/03(水) 臨時休業</v>
      </c>
    </row>
    <row r="6" spans="1:9" x14ac:dyDescent="0.2">
      <c r="A6" s="10" t="s">
        <v>110</v>
      </c>
      <c r="B6" s="10" t="s">
        <v>138</v>
      </c>
      <c r="C6" s="10" t="s">
        <v>132</v>
      </c>
      <c r="D6" s="10" t="s">
        <v>139</v>
      </c>
      <c r="E6" t="s">
        <v>143</v>
      </c>
      <c r="F6" s="10" t="s">
        <v>140</v>
      </c>
      <c r="G6" t="s">
        <v>147</v>
      </c>
      <c r="I6" t="str">
        <f t="shared" si="0"/>
        <v>02/04(木) 臨時休業</v>
      </c>
    </row>
    <row r="7" spans="1:9" x14ac:dyDescent="0.2">
      <c r="A7" s="10" t="s">
        <v>110</v>
      </c>
      <c r="B7" s="10" t="s">
        <v>138</v>
      </c>
      <c r="C7" s="10" t="s">
        <v>133</v>
      </c>
      <c r="D7" s="10" t="s">
        <v>139</v>
      </c>
      <c r="E7" t="s">
        <v>144</v>
      </c>
      <c r="F7" s="10" t="s">
        <v>140</v>
      </c>
      <c r="G7" t="s">
        <v>147</v>
      </c>
      <c r="I7" t="str">
        <f t="shared" si="0"/>
        <v>02/05(金) 臨時休業</v>
      </c>
    </row>
    <row r="8" spans="1:9" x14ac:dyDescent="0.2">
      <c r="A8" s="10" t="s">
        <v>110</v>
      </c>
      <c r="B8" s="10" t="s">
        <v>138</v>
      </c>
      <c r="C8" s="10" t="s">
        <v>134</v>
      </c>
      <c r="D8" s="10" t="s">
        <v>139</v>
      </c>
      <c r="E8" t="s">
        <v>145</v>
      </c>
      <c r="F8" s="10" t="s">
        <v>140</v>
      </c>
      <c r="G8" t="s">
        <v>147</v>
      </c>
      <c r="I8" t="str">
        <f t="shared" si="0"/>
        <v>02/06(土) 臨時休業</v>
      </c>
    </row>
    <row r="9" spans="1:9" x14ac:dyDescent="0.2">
      <c r="A9" s="10" t="s">
        <v>110</v>
      </c>
      <c r="B9" s="10" t="s">
        <v>138</v>
      </c>
      <c r="C9" s="10" t="s">
        <v>135</v>
      </c>
      <c r="D9" s="10" t="s">
        <v>139</v>
      </c>
      <c r="E9" t="s">
        <v>146</v>
      </c>
      <c r="F9" s="10" t="s">
        <v>140</v>
      </c>
      <c r="G9" t="s">
        <v>147</v>
      </c>
      <c r="I9" t="str">
        <f t="shared" si="0"/>
        <v>02/07(日) 臨時休業</v>
      </c>
    </row>
    <row r="10" spans="1:9" x14ac:dyDescent="0.2">
      <c r="A10" s="10" t="s">
        <v>110</v>
      </c>
      <c r="B10" s="10" t="s">
        <v>138</v>
      </c>
      <c r="C10" s="10" t="s">
        <v>136</v>
      </c>
      <c r="D10" s="10" t="s">
        <v>139</v>
      </c>
      <c r="E10" t="s">
        <v>107</v>
      </c>
      <c r="F10" s="10" t="s">
        <v>140</v>
      </c>
      <c r="G10" t="s">
        <v>147</v>
      </c>
      <c r="I10" t="str">
        <f t="shared" si="0"/>
        <v>02/08(月) 臨時休業</v>
      </c>
    </row>
    <row r="11" spans="1:9" x14ac:dyDescent="0.2">
      <c r="A11" s="10" t="s">
        <v>110</v>
      </c>
      <c r="B11" s="10" t="s">
        <v>138</v>
      </c>
      <c r="C11" s="10" t="s">
        <v>137</v>
      </c>
      <c r="D11" s="10" t="s">
        <v>139</v>
      </c>
      <c r="E11" t="s">
        <v>141</v>
      </c>
      <c r="F11" s="10" t="s">
        <v>140</v>
      </c>
      <c r="G11" t="s">
        <v>147</v>
      </c>
      <c r="I11" t="str">
        <f t="shared" si="0"/>
        <v>02/09(火) 臨時休業</v>
      </c>
    </row>
    <row r="12" spans="1:9" x14ac:dyDescent="0.2">
      <c r="A12" s="10" t="s">
        <v>110</v>
      </c>
      <c r="B12" s="10" t="s">
        <v>138</v>
      </c>
      <c r="C12" s="10" t="s">
        <v>111</v>
      </c>
      <c r="D12" s="10" t="s">
        <v>139</v>
      </c>
      <c r="E12" t="s">
        <v>142</v>
      </c>
      <c r="F12" s="10" t="s">
        <v>140</v>
      </c>
      <c r="G12" t="s">
        <v>147</v>
      </c>
      <c r="I12" t="str">
        <f t="shared" si="0"/>
        <v>02/10(水) 臨時休業</v>
      </c>
    </row>
    <row r="13" spans="1:9" x14ac:dyDescent="0.2">
      <c r="A13" s="10" t="s">
        <v>110</v>
      </c>
      <c r="B13" s="10" t="s">
        <v>138</v>
      </c>
      <c r="C13" s="10" t="s">
        <v>112</v>
      </c>
      <c r="D13" s="10" t="s">
        <v>139</v>
      </c>
      <c r="E13" t="s">
        <v>143</v>
      </c>
      <c r="F13" s="10" t="s">
        <v>140</v>
      </c>
      <c r="G13" t="s">
        <v>147</v>
      </c>
      <c r="I13" t="str">
        <f t="shared" si="0"/>
        <v>02/11(木) 臨時休業</v>
      </c>
    </row>
    <row r="14" spans="1:9" x14ac:dyDescent="0.2">
      <c r="A14" s="10" t="s">
        <v>110</v>
      </c>
      <c r="B14" s="10" t="s">
        <v>138</v>
      </c>
      <c r="C14" s="10" t="s">
        <v>113</v>
      </c>
      <c r="D14" s="10" t="s">
        <v>139</v>
      </c>
      <c r="E14" t="s">
        <v>144</v>
      </c>
      <c r="F14" s="10" t="s">
        <v>140</v>
      </c>
      <c r="G14" t="s">
        <v>147</v>
      </c>
      <c r="I14" t="str">
        <f t="shared" si="0"/>
        <v>02/12(金) 臨時休業</v>
      </c>
    </row>
    <row r="15" spans="1:9" x14ac:dyDescent="0.2">
      <c r="A15" s="10" t="s">
        <v>110</v>
      </c>
      <c r="B15" s="10" t="s">
        <v>138</v>
      </c>
      <c r="C15" s="10" t="s">
        <v>114</v>
      </c>
      <c r="D15" s="10" t="s">
        <v>139</v>
      </c>
      <c r="E15" t="s">
        <v>145</v>
      </c>
      <c r="F15" s="10" t="s">
        <v>140</v>
      </c>
      <c r="G15" t="s">
        <v>147</v>
      </c>
      <c r="I15" t="str">
        <f t="shared" si="0"/>
        <v>02/13(土) 臨時休業</v>
      </c>
    </row>
    <row r="16" spans="1:9" x14ac:dyDescent="0.2">
      <c r="A16" s="10" t="s">
        <v>110</v>
      </c>
      <c r="B16" s="10" t="s">
        <v>138</v>
      </c>
      <c r="C16" s="10" t="s">
        <v>115</v>
      </c>
      <c r="D16" s="10" t="s">
        <v>139</v>
      </c>
      <c r="E16" t="s">
        <v>146</v>
      </c>
      <c r="F16" s="10" t="s">
        <v>140</v>
      </c>
      <c r="G16" t="s">
        <v>147</v>
      </c>
      <c r="I16" t="str">
        <f t="shared" si="0"/>
        <v>02/14(日) 臨時休業</v>
      </c>
    </row>
    <row r="17" spans="1:9" x14ac:dyDescent="0.2">
      <c r="A17" s="10" t="s">
        <v>110</v>
      </c>
      <c r="B17" s="10" t="s">
        <v>138</v>
      </c>
      <c r="C17" s="10" t="s">
        <v>116</v>
      </c>
      <c r="D17" s="10" t="s">
        <v>139</v>
      </c>
      <c r="E17" t="s">
        <v>107</v>
      </c>
      <c r="F17" s="10" t="s">
        <v>140</v>
      </c>
      <c r="G17" t="s">
        <v>147</v>
      </c>
      <c r="I17" t="str">
        <f t="shared" si="0"/>
        <v>02/15(月) 臨時休業</v>
      </c>
    </row>
    <row r="18" spans="1:9" x14ac:dyDescent="0.2">
      <c r="A18" s="10" t="s">
        <v>110</v>
      </c>
      <c r="B18" s="10" t="s">
        <v>138</v>
      </c>
      <c r="C18" s="10" t="s">
        <v>117</v>
      </c>
      <c r="D18" s="10" t="s">
        <v>139</v>
      </c>
      <c r="E18" t="s">
        <v>141</v>
      </c>
      <c r="F18" s="10" t="s">
        <v>140</v>
      </c>
      <c r="G18" t="s">
        <v>147</v>
      </c>
      <c r="I18" t="str">
        <f t="shared" si="0"/>
        <v>02/16(火) 臨時休業</v>
      </c>
    </row>
    <row r="19" spans="1:9" x14ac:dyDescent="0.2">
      <c r="A19" s="10" t="s">
        <v>110</v>
      </c>
      <c r="B19" s="10" t="s">
        <v>138</v>
      </c>
      <c r="C19" s="10" t="s">
        <v>118</v>
      </c>
      <c r="D19" s="10" t="s">
        <v>139</v>
      </c>
      <c r="E19" t="s">
        <v>142</v>
      </c>
      <c r="F19" s="10" t="s">
        <v>140</v>
      </c>
      <c r="G19" t="s">
        <v>147</v>
      </c>
      <c r="I19" t="str">
        <f t="shared" si="0"/>
        <v>02/17(水) 臨時休業</v>
      </c>
    </row>
    <row r="20" spans="1:9" x14ac:dyDescent="0.2">
      <c r="A20" s="10" t="s">
        <v>110</v>
      </c>
      <c r="B20" s="10" t="s">
        <v>138</v>
      </c>
      <c r="C20" s="10" t="s">
        <v>119</v>
      </c>
      <c r="D20" s="10" t="s">
        <v>139</v>
      </c>
      <c r="E20" t="s">
        <v>143</v>
      </c>
      <c r="F20" s="10" t="s">
        <v>140</v>
      </c>
      <c r="G20" t="s">
        <v>147</v>
      </c>
      <c r="I20" t="str">
        <f t="shared" si="0"/>
        <v>02/18(木) 臨時休業</v>
      </c>
    </row>
    <row r="21" spans="1:9" x14ac:dyDescent="0.2">
      <c r="A21" s="10" t="s">
        <v>110</v>
      </c>
      <c r="B21" s="10" t="s">
        <v>138</v>
      </c>
      <c r="C21" s="10" t="s">
        <v>120</v>
      </c>
      <c r="D21" s="10" t="s">
        <v>139</v>
      </c>
      <c r="E21" t="s">
        <v>144</v>
      </c>
      <c r="F21" s="10" t="s">
        <v>140</v>
      </c>
      <c r="G21" t="s">
        <v>147</v>
      </c>
      <c r="I21" t="str">
        <f t="shared" si="0"/>
        <v>02/19(金) 臨時休業</v>
      </c>
    </row>
    <row r="22" spans="1:9" x14ac:dyDescent="0.2">
      <c r="A22" s="10" t="s">
        <v>110</v>
      </c>
      <c r="B22" s="10" t="s">
        <v>138</v>
      </c>
      <c r="C22" s="10" t="s">
        <v>121</v>
      </c>
      <c r="D22" s="10" t="s">
        <v>139</v>
      </c>
      <c r="E22" t="s">
        <v>145</v>
      </c>
      <c r="F22" s="10" t="s">
        <v>140</v>
      </c>
      <c r="G22" t="s">
        <v>147</v>
      </c>
      <c r="I22" t="str">
        <f t="shared" si="0"/>
        <v>02/20(土) 臨時休業</v>
      </c>
    </row>
    <row r="23" spans="1:9" x14ac:dyDescent="0.2">
      <c r="A23" s="10" t="s">
        <v>110</v>
      </c>
      <c r="B23" s="10" t="s">
        <v>138</v>
      </c>
      <c r="C23" s="10" t="s">
        <v>122</v>
      </c>
      <c r="D23" s="10" t="s">
        <v>139</v>
      </c>
      <c r="E23" t="s">
        <v>146</v>
      </c>
      <c r="F23" s="10" t="s">
        <v>140</v>
      </c>
      <c r="G23" t="s">
        <v>147</v>
      </c>
      <c r="I23" t="str">
        <f t="shared" si="0"/>
        <v>02/21(日) 臨時休業</v>
      </c>
    </row>
    <row r="24" spans="1:9" x14ac:dyDescent="0.2">
      <c r="A24" s="10" t="s">
        <v>110</v>
      </c>
      <c r="B24" s="10" t="s">
        <v>138</v>
      </c>
      <c r="C24" s="10" t="s">
        <v>123</v>
      </c>
      <c r="D24" s="10" t="s">
        <v>139</v>
      </c>
      <c r="E24" t="s">
        <v>107</v>
      </c>
      <c r="F24" s="10" t="s">
        <v>140</v>
      </c>
      <c r="G24" t="s">
        <v>147</v>
      </c>
      <c r="I24" t="str">
        <f t="shared" si="0"/>
        <v>02/22(月) 臨時休業</v>
      </c>
    </row>
    <row r="25" spans="1:9" x14ac:dyDescent="0.2">
      <c r="A25" s="10" t="s">
        <v>110</v>
      </c>
      <c r="B25" s="10" t="s">
        <v>138</v>
      </c>
      <c r="C25" s="10" t="s">
        <v>124</v>
      </c>
      <c r="D25" s="10" t="s">
        <v>139</v>
      </c>
      <c r="E25" t="s">
        <v>141</v>
      </c>
      <c r="F25" s="10" t="s">
        <v>140</v>
      </c>
      <c r="G25" t="s">
        <v>147</v>
      </c>
      <c r="I25" t="str">
        <f t="shared" si="0"/>
        <v>02/23(火) 臨時休業</v>
      </c>
    </row>
    <row r="26" spans="1:9" x14ac:dyDescent="0.2">
      <c r="A26" s="10" t="s">
        <v>110</v>
      </c>
      <c r="B26" s="10" t="s">
        <v>138</v>
      </c>
      <c r="C26" s="10" t="s">
        <v>125</v>
      </c>
      <c r="D26" s="10" t="s">
        <v>139</v>
      </c>
      <c r="E26" t="s">
        <v>142</v>
      </c>
      <c r="F26" s="10" t="s">
        <v>140</v>
      </c>
      <c r="G26" t="s">
        <v>147</v>
      </c>
      <c r="I26" t="str">
        <f t="shared" si="0"/>
        <v>02/24(水) 臨時休業</v>
      </c>
    </row>
    <row r="27" spans="1:9" x14ac:dyDescent="0.2">
      <c r="A27" s="10" t="s">
        <v>110</v>
      </c>
      <c r="B27" s="10" t="s">
        <v>138</v>
      </c>
      <c r="C27" s="10" t="s">
        <v>126</v>
      </c>
      <c r="D27" s="10" t="s">
        <v>139</v>
      </c>
      <c r="E27" t="s">
        <v>143</v>
      </c>
      <c r="F27" s="10" t="s">
        <v>140</v>
      </c>
      <c r="G27" t="s">
        <v>147</v>
      </c>
      <c r="I27" t="str">
        <f t="shared" si="0"/>
        <v>02/25(木) 臨時休業</v>
      </c>
    </row>
    <row r="28" spans="1:9" x14ac:dyDescent="0.2">
      <c r="A28" s="10" t="s">
        <v>110</v>
      </c>
      <c r="B28" s="10" t="s">
        <v>138</v>
      </c>
      <c r="C28" s="10" t="s">
        <v>127</v>
      </c>
      <c r="D28" s="10" t="s">
        <v>139</v>
      </c>
      <c r="E28" t="s">
        <v>144</v>
      </c>
      <c r="F28" s="10" t="s">
        <v>140</v>
      </c>
      <c r="G28" t="s">
        <v>147</v>
      </c>
      <c r="I28" t="str">
        <f t="shared" si="0"/>
        <v>02/26(金) 臨時休業</v>
      </c>
    </row>
    <row r="29" spans="1:9" x14ac:dyDescent="0.2">
      <c r="A29" s="10" t="s">
        <v>110</v>
      </c>
      <c r="B29" s="10" t="s">
        <v>138</v>
      </c>
      <c r="C29" s="10" t="s">
        <v>128</v>
      </c>
      <c r="D29" s="10" t="s">
        <v>139</v>
      </c>
      <c r="E29" t="s">
        <v>145</v>
      </c>
      <c r="F29" s="10" t="s">
        <v>140</v>
      </c>
      <c r="G29" t="s">
        <v>147</v>
      </c>
      <c r="I29" t="str">
        <f t="shared" si="0"/>
        <v>02/27(土) 臨時休業</v>
      </c>
    </row>
    <row r="30" spans="1:9" x14ac:dyDescent="0.2">
      <c r="A30" s="10" t="s">
        <v>110</v>
      </c>
      <c r="B30" s="10" t="s">
        <v>138</v>
      </c>
      <c r="C30" s="10" t="s">
        <v>129</v>
      </c>
      <c r="D30" s="10" t="s">
        <v>139</v>
      </c>
      <c r="E30" t="s">
        <v>146</v>
      </c>
      <c r="F30" s="10" t="s">
        <v>140</v>
      </c>
      <c r="G30" t="s">
        <v>147</v>
      </c>
      <c r="I30" t="str">
        <f t="shared" si="0"/>
        <v>02/28(日) 臨時休業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26A5-71D3-4348-A3FC-C3C0533C8528}">
  <dimension ref="A3:D33"/>
  <sheetViews>
    <sheetView workbookViewId="0">
      <selection activeCell="D3" sqref="D3:D33"/>
    </sheetView>
  </sheetViews>
  <sheetFormatPr defaultRowHeight="13.2" x14ac:dyDescent="0.2"/>
  <cols>
    <col min="1" max="2" width="3.5546875" bestFit="1" customWidth="1"/>
    <col min="3" max="3" width="9.5546875" bestFit="1" customWidth="1"/>
    <col min="4" max="4" width="8.88671875" style="15"/>
  </cols>
  <sheetData>
    <row r="3" spans="1:4" x14ac:dyDescent="0.2">
      <c r="A3" s="14">
        <v>1</v>
      </c>
      <c r="B3" s="14" t="s">
        <v>184</v>
      </c>
      <c r="C3" t="s">
        <v>185</v>
      </c>
      <c r="D3" s="15" t="str">
        <f>IF(OR(B3="土", B3="日"), "&lt;tr class='weekend'&gt;&lt;td&gt;"&amp;A3&amp;"日("&amp;B3&amp;")&lt;/td&gt;&lt;td&gt;"&amp;C3&amp;"&lt;/td&gt;&lt;/tr&gt;", "&lt;tr&gt;&lt;td&gt;"&amp;A3&amp;"日("&amp;B3&amp;")&lt;/td&gt;&lt;td&gt;"&amp;C3&amp;"&lt;/td&gt;&lt;/tr&gt;")</f>
        <v>&lt;tr&gt;&lt;td&gt;1日(水)&lt;/td&gt;&lt;td&gt;臨時休業&lt;/td&gt;&lt;/tr&gt;</v>
      </c>
    </row>
    <row r="4" spans="1:4" x14ac:dyDescent="0.2">
      <c r="A4" s="14">
        <v>2</v>
      </c>
      <c r="B4" s="14" t="s">
        <v>143</v>
      </c>
      <c r="C4" t="s">
        <v>185</v>
      </c>
      <c r="D4" s="15" t="str">
        <f t="shared" ref="D4:D33" si="0">IF(OR(B4="土", B4="日"), "&lt;tr class='weekend'&gt;&lt;td&gt;"&amp;A4&amp;"日("&amp;B4&amp;")&lt;/td&gt;&lt;td&gt;"&amp;C4&amp;"&lt;/td&gt;&lt;/tr&gt;", "&lt;tr&gt;&lt;td&gt;"&amp;A4&amp;"日("&amp;B4&amp;")&lt;/td&gt;&lt;td&gt;"&amp;C4&amp;"&lt;/td&gt;&lt;/tr&gt;")</f>
        <v>&lt;tr&gt;&lt;td&gt;2日(木)&lt;/td&gt;&lt;td&gt;臨時休業&lt;/td&gt;&lt;/tr&gt;</v>
      </c>
    </row>
    <row r="5" spans="1:4" x14ac:dyDescent="0.2">
      <c r="A5" s="14">
        <v>3</v>
      </c>
      <c r="B5" s="14" t="s">
        <v>144</v>
      </c>
      <c r="C5" t="s">
        <v>185</v>
      </c>
      <c r="D5" s="15" t="str">
        <f t="shared" si="0"/>
        <v>&lt;tr&gt;&lt;td&gt;3日(金)&lt;/td&gt;&lt;td&gt;臨時休業&lt;/td&gt;&lt;/tr&gt;</v>
      </c>
    </row>
    <row r="6" spans="1:4" x14ac:dyDescent="0.2">
      <c r="A6" s="14">
        <v>4</v>
      </c>
      <c r="B6" s="14" t="s">
        <v>145</v>
      </c>
      <c r="C6" t="s">
        <v>185</v>
      </c>
      <c r="D6" s="15" t="str">
        <f t="shared" si="0"/>
        <v>&lt;tr class='weekend'&gt;&lt;td&gt;4日(土)&lt;/td&gt;&lt;td&gt;臨時休業&lt;/td&gt;&lt;/tr&gt;</v>
      </c>
    </row>
    <row r="7" spans="1:4" x14ac:dyDescent="0.2">
      <c r="A7" s="14">
        <v>5</v>
      </c>
      <c r="B7" s="14" t="s">
        <v>146</v>
      </c>
      <c r="C7" t="s">
        <v>185</v>
      </c>
      <c r="D7" s="15" t="str">
        <f t="shared" si="0"/>
        <v>&lt;tr class='weekend'&gt;&lt;td&gt;5日(日)&lt;/td&gt;&lt;td&gt;臨時休業&lt;/td&gt;&lt;/tr&gt;</v>
      </c>
    </row>
    <row r="8" spans="1:4" x14ac:dyDescent="0.2">
      <c r="A8" s="14">
        <v>6</v>
      </c>
      <c r="B8" s="14" t="s">
        <v>107</v>
      </c>
      <c r="C8" t="s">
        <v>185</v>
      </c>
      <c r="D8" s="15" t="str">
        <f t="shared" si="0"/>
        <v>&lt;tr&gt;&lt;td&gt;6日(月)&lt;/td&gt;&lt;td&gt;臨時休業&lt;/td&gt;&lt;/tr&gt;</v>
      </c>
    </row>
    <row r="9" spans="1:4" x14ac:dyDescent="0.2">
      <c r="A9" s="14">
        <v>7</v>
      </c>
      <c r="B9" s="14" t="s">
        <v>141</v>
      </c>
      <c r="C9" t="s">
        <v>185</v>
      </c>
      <c r="D9" s="15" t="str">
        <f t="shared" si="0"/>
        <v>&lt;tr&gt;&lt;td&gt;7日(火)&lt;/td&gt;&lt;td&gt;臨時休業&lt;/td&gt;&lt;/tr&gt;</v>
      </c>
    </row>
    <row r="10" spans="1:4" x14ac:dyDescent="0.2">
      <c r="A10" s="14">
        <v>8</v>
      </c>
      <c r="B10" s="14" t="s">
        <v>142</v>
      </c>
      <c r="C10" t="s">
        <v>185</v>
      </c>
      <c r="D10" s="15" t="str">
        <f t="shared" si="0"/>
        <v>&lt;tr&gt;&lt;td&gt;8日(水)&lt;/td&gt;&lt;td&gt;臨時休業&lt;/td&gt;&lt;/tr&gt;</v>
      </c>
    </row>
    <row r="11" spans="1:4" x14ac:dyDescent="0.2">
      <c r="A11" s="14">
        <v>9</v>
      </c>
      <c r="B11" s="14" t="s">
        <v>143</v>
      </c>
      <c r="C11" t="s">
        <v>185</v>
      </c>
      <c r="D11" s="15" t="str">
        <f t="shared" si="0"/>
        <v>&lt;tr&gt;&lt;td&gt;9日(木)&lt;/td&gt;&lt;td&gt;臨時休業&lt;/td&gt;&lt;/tr&gt;</v>
      </c>
    </row>
    <row r="12" spans="1:4" x14ac:dyDescent="0.2">
      <c r="A12" s="14">
        <v>10</v>
      </c>
      <c r="B12" s="14" t="s">
        <v>144</v>
      </c>
      <c r="C12" t="s">
        <v>185</v>
      </c>
      <c r="D12" s="15" t="str">
        <f t="shared" si="0"/>
        <v>&lt;tr&gt;&lt;td&gt;10日(金)&lt;/td&gt;&lt;td&gt;臨時休業&lt;/td&gt;&lt;/tr&gt;</v>
      </c>
    </row>
    <row r="13" spans="1:4" x14ac:dyDescent="0.2">
      <c r="A13" s="14">
        <v>11</v>
      </c>
      <c r="B13" s="14" t="s">
        <v>145</v>
      </c>
      <c r="C13" t="s">
        <v>185</v>
      </c>
      <c r="D13" s="15" t="str">
        <f t="shared" si="0"/>
        <v>&lt;tr class='weekend'&gt;&lt;td&gt;11日(土)&lt;/td&gt;&lt;td&gt;臨時休業&lt;/td&gt;&lt;/tr&gt;</v>
      </c>
    </row>
    <row r="14" spans="1:4" x14ac:dyDescent="0.2">
      <c r="A14" s="14">
        <v>12</v>
      </c>
      <c r="B14" s="14" t="s">
        <v>146</v>
      </c>
      <c r="C14" t="s">
        <v>185</v>
      </c>
      <c r="D14" s="15" t="str">
        <f t="shared" si="0"/>
        <v>&lt;tr class='weekend'&gt;&lt;td&gt;12日(日)&lt;/td&gt;&lt;td&gt;臨時休業&lt;/td&gt;&lt;/tr&gt;</v>
      </c>
    </row>
    <row r="15" spans="1:4" x14ac:dyDescent="0.2">
      <c r="A15" s="14">
        <v>13</v>
      </c>
      <c r="B15" s="14" t="s">
        <v>107</v>
      </c>
      <c r="C15" t="s">
        <v>185</v>
      </c>
      <c r="D15" s="15" t="str">
        <f t="shared" si="0"/>
        <v>&lt;tr&gt;&lt;td&gt;13日(月)&lt;/td&gt;&lt;td&gt;臨時休業&lt;/td&gt;&lt;/tr&gt;</v>
      </c>
    </row>
    <row r="16" spans="1:4" x14ac:dyDescent="0.2">
      <c r="A16" s="14">
        <v>14</v>
      </c>
      <c r="B16" s="14" t="s">
        <v>141</v>
      </c>
      <c r="C16" t="s">
        <v>185</v>
      </c>
      <c r="D16" s="15" t="str">
        <f t="shared" si="0"/>
        <v>&lt;tr&gt;&lt;td&gt;14日(火)&lt;/td&gt;&lt;td&gt;臨時休業&lt;/td&gt;&lt;/tr&gt;</v>
      </c>
    </row>
    <row r="17" spans="1:4" x14ac:dyDescent="0.2">
      <c r="A17" s="14">
        <v>15</v>
      </c>
      <c r="B17" s="14" t="s">
        <v>142</v>
      </c>
      <c r="C17" t="s">
        <v>185</v>
      </c>
      <c r="D17" s="15" t="str">
        <f t="shared" si="0"/>
        <v>&lt;tr&gt;&lt;td&gt;15日(水)&lt;/td&gt;&lt;td&gt;臨時休業&lt;/td&gt;&lt;/tr&gt;</v>
      </c>
    </row>
    <row r="18" spans="1:4" x14ac:dyDescent="0.2">
      <c r="A18" s="14">
        <v>16</v>
      </c>
      <c r="B18" s="14" t="s">
        <v>143</v>
      </c>
      <c r="C18" t="s">
        <v>185</v>
      </c>
      <c r="D18" s="15" t="str">
        <f t="shared" si="0"/>
        <v>&lt;tr&gt;&lt;td&gt;16日(木)&lt;/td&gt;&lt;td&gt;臨時休業&lt;/td&gt;&lt;/tr&gt;</v>
      </c>
    </row>
    <row r="19" spans="1:4" x14ac:dyDescent="0.2">
      <c r="A19" s="14">
        <v>17</v>
      </c>
      <c r="B19" s="14" t="s">
        <v>144</v>
      </c>
      <c r="C19" t="s">
        <v>185</v>
      </c>
      <c r="D19" s="15" t="str">
        <f t="shared" si="0"/>
        <v>&lt;tr&gt;&lt;td&gt;17日(金)&lt;/td&gt;&lt;td&gt;臨時休業&lt;/td&gt;&lt;/tr&gt;</v>
      </c>
    </row>
    <row r="20" spans="1:4" x14ac:dyDescent="0.2">
      <c r="A20" s="14">
        <v>18</v>
      </c>
      <c r="B20" s="14" t="s">
        <v>145</v>
      </c>
      <c r="C20" t="s">
        <v>185</v>
      </c>
      <c r="D20" s="15" t="str">
        <f t="shared" si="0"/>
        <v>&lt;tr class='weekend'&gt;&lt;td&gt;18日(土)&lt;/td&gt;&lt;td&gt;臨時休業&lt;/td&gt;&lt;/tr&gt;</v>
      </c>
    </row>
    <row r="21" spans="1:4" x14ac:dyDescent="0.2">
      <c r="A21" s="14">
        <v>19</v>
      </c>
      <c r="B21" s="14" t="s">
        <v>146</v>
      </c>
      <c r="C21" t="s">
        <v>185</v>
      </c>
      <c r="D21" s="15" t="str">
        <f t="shared" si="0"/>
        <v>&lt;tr class='weekend'&gt;&lt;td&gt;19日(日)&lt;/td&gt;&lt;td&gt;臨時休業&lt;/td&gt;&lt;/tr&gt;</v>
      </c>
    </row>
    <row r="22" spans="1:4" x14ac:dyDescent="0.2">
      <c r="A22" s="14">
        <v>20</v>
      </c>
      <c r="B22" s="14" t="s">
        <v>107</v>
      </c>
      <c r="C22" t="s">
        <v>185</v>
      </c>
      <c r="D22" s="15" t="str">
        <f t="shared" si="0"/>
        <v>&lt;tr&gt;&lt;td&gt;20日(月)&lt;/td&gt;&lt;td&gt;臨時休業&lt;/td&gt;&lt;/tr&gt;</v>
      </c>
    </row>
    <row r="23" spans="1:4" x14ac:dyDescent="0.2">
      <c r="A23" s="14">
        <v>21</v>
      </c>
      <c r="B23" s="14" t="s">
        <v>141</v>
      </c>
      <c r="C23" t="s">
        <v>185</v>
      </c>
      <c r="D23" s="15" t="str">
        <f t="shared" si="0"/>
        <v>&lt;tr&gt;&lt;td&gt;21日(火)&lt;/td&gt;&lt;td&gt;臨時休業&lt;/td&gt;&lt;/tr&gt;</v>
      </c>
    </row>
    <row r="24" spans="1:4" x14ac:dyDescent="0.2">
      <c r="A24" s="14">
        <v>22</v>
      </c>
      <c r="B24" s="14" t="s">
        <v>142</v>
      </c>
      <c r="C24" t="s">
        <v>185</v>
      </c>
      <c r="D24" s="15" t="str">
        <f t="shared" si="0"/>
        <v>&lt;tr&gt;&lt;td&gt;22日(水)&lt;/td&gt;&lt;td&gt;臨時休業&lt;/td&gt;&lt;/tr&gt;</v>
      </c>
    </row>
    <row r="25" spans="1:4" x14ac:dyDescent="0.2">
      <c r="A25" s="14">
        <v>23</v>
      </c>
      <c r="B25" s="14" t="s">
        <v>143</v>
      </c>
      <c r="C25" t="s">
        <v>185</v>
      </c>
      <c r="D25" s="15" t="str">
        <f t="shared" si="0"/>
        <v>&lt;tr&gt;&lt;td&gt;23日(木)&lt;/td&gt;&lt;td&gt;臨時休業&lt;/td&gt;&lt;/tr&gt;</v>
      </c>
    </row>
    <row r="26" spans="1:4" x14ac:dyDescent="0.2">
      <c r="A26" s="14">
        <v>24</v>
      </c>
      <c r="B26" s="14" t="s">
        <v>144</v>
      </c>
      <c r="C26" t="s">
        <v>185</v>
      </c>
      <c r="D26" s="15" t="str">
        <f t="shared" si="0"/>
        <v>&lt;tr&gt;&lt;td&gt;24日(金)&lt;/td&gt;&lt;td&gt;臨時休業&lt;/td&gt;&lt;/tr&gt;</v>
      </c>
    </row>
    <row r="27" spans="1:4" x14ac:dyDescent="0.2">
      <c r="A27" s="14">
        <v>25</v>
      </c>
      <c r="B27" s="14" t="s">
        <v>145</v>
      </c>
      <c r="C27" t="s">
        <v>185</v>
      </c>
      <c r="D27" s="15" t="str">
        <f t="shared" si="0"/>
        <v>&lt;tr class='weekend'&gt;&lt;td&gt;25日(土)&lt;/td&gt;&lt;td&gt;臨時休業&lt;/td&gt;&lt;/tr&gt;</v>
      </c>
    </row>
    <row r="28" spans="1:4" x14ac:dyDescent="0.2">
      <c r="A28" s="14">
        <v>26</v>
      </c>
      <c r="B28" s="14" t="s">
        <v>146</v>
      </c>
      <c r="C28" t="s">
        <v>185</v>
      </c>
      <c r="D28" s="15" t="str">
        <f t="shared" si="0"/>
        <v>&lt;tr class='weekend'&gt;&lt;td&gt;26日(日)&lt;/td&gt;&lt;td&gt;臨時休業&lt;/td&gt;&lt;/tr&gt;</v>
      </c>
    </row>
    <row r="29" spans="1:4" x14ac:dyDescent="0.2">
      <c r="A29" s="14">
        <v>27</v>
      </c>
      <c r="B29" s="14" t="s">
        <v>107</v>
      </c>
      <c r="C29" t="s">
        <v>185</v>
      </c>
      <c r="D29" s="15" t="str">
        <f t="shared" si="0"/>
        <v>&lt;tr&gt;&lt;td&gt;27日(月)&lt;/td&gt;&lt;td&gt;臨時休業&lt;/td&gt;&lt;/tr&gt;</v>
      </c>
    </row>
    <row r="30" spans="1:4" x14ac:dyDescent="0.2">
      <c r="A30" s="14">
        <v>28</v>
      </c>
      <c r="B30" s="14" t="s">
        <v>141</v>
      </c>
      <c r="C30" t="s">
        <v>185</v>
      </c>
      <c r="D30" s="15" t="str">
        <f t="shared" si="0"/>
        <v>&lt;tr&gt;&lt;td&gt;28日(火)&lt;/td&gt;&lt;td&gt;臨時休業&lt;/td&gt;&lt;/tr&gt;</v>
      </c>
    </row>
    <row r="31" spans="1:4" x14ac:dyDescent="0.2">
      <c r="A31" s="14">
        <v>29</v>
      </c>
      <c r="B31" s="14" t="s">
        <v>142</v>
      </c>
      <c r="C31" t="s">
        <v>185</v>
      </c>
      <c r="D31" s="15" t="str">
        <f t="shared" si="0"/>
        <v>&lt;tr&gt;&lt;td&gt;29日(水)&lt;/td&gt;&lt;td&gt;臨時休業&lt;/td&gt;&lt;/tr&gt;</v>
      </c>
    </row>
    <row r="32" spans="1:4" x14ac:dyDescent="0.2">
      <c r="A32" s="14">
        <v>30</v>
      </c>
      <c r="B32" s="14" t="s">
        <v>143</v>
      </c>
      <c r="C32" t="s">
        <v>185</v>
      </c>
      <c r="D32" s="15" t="str">
        <f t="shared" si="0"/>
        <v>&lt;tr&gt;&lt;td&gt;30日(木)&lt;/td&gt;&lt;td&gt;臨時休業&lt;/td&gt;&lt;/tr&gt;</v>
      </c>
    </row>
    <row r="33" spans="1:4" x14ac:dyDescent="0.2">
      <c r="A33" s="14">
        <v>31</v>
      </c>
      <c r="B33" s="14" t="s">
        <v>144</v>
      </c>
      <c r="C33" t="s">
        <v>185</v>
      </c>
      <c r="D33" s="15" t="str">
        <f t="shared" si="0"/>
        <v>&lt;tr&gt;&lt;td&gt;31日(金)&lt;/td&gt;&lt;td&gt;臨時休業&lt;/td&gt;&lt;/tr&gt;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20190901</vt:lpstr>
      <vt:lpstr>Sheet3</vt:lpstr>
      <vt:lpstr>Sheet2</vt:lpstr>
      <vt:lpstr>20210918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2021-10-03T11:05:45Z</dcterms:modified>
</cp:coreProperties>
</file>