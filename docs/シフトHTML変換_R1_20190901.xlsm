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docs\"/>
    </mc:Choice>
  </mc:AlternateContent>
  <xr:revisionPtr revIDLastSave="0" documentId="13_ncr:1_{82512350-B6B1-4C4C-A3A5-5A0B6845B14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1" r:id="rId1"/>
    <sheet name="20190901" sheetId="5" r:id="rId2"/>
    <sheet name="Sheet3" sheetId="7" r:id="rId3"/>
    <sheet name="Sheet2" sheetId="6" r:id="rId4"/>
    <sheet name="en" sheetId="4" r:id="rId5"/>
  </sheets>
  <calcPr calcId="181029"/>
</workbook>
</file>

<file path=xl/calcChain.xml><?xml version="1.0" encoding="utf-8"?>
<calcChain xmlns="http://schemas.openxmlformats.org/spreadsheetml/2006/main">
  <c r="A32" i="5" l="1"/>
  <c r="A31" i="5"/>
  <c r="A30" i="5"/>
  <c r="A29" i="5"/>
  <c r="A28" i="5"/>
  <c r="D28" i="5" s="1"/>
  <c r="E28" i="5" s="1"/>
  <c r="I28" i="5" s="1"/>
  <c r="M28" i="5" s="1"/>
  <c r="A27" i="5"/>
  <c r="A26" i="5"/>
  <c r="A25" i="5"/>
  <c r="A24" i="5"/>
  <c r="A23" i="5"/>
  <c r="A22" i="5"/>
  <c r="D22" i="5" s="1"/>
  <c r="E22" i="5" s="1"/>
  <c r="I22" i="5" s="1"/>
  <c r="M22" i="5" s="1"/>
  <c r="A21" i="5"/>
  <c r="D21" i="5" s="1"/>
  <c r="E21" i="5" s="1"/>
  <c r="I21" i="5" s="1"/>
  <c r="M21" i="5" s="1"/>
  <c r="A20" i="5"/>
  <c r="A19" i="5"/>
  <c r="A18" i="5"/>
  <c r="A17" i="5"/>
  <c r="A16" i="5"/>
  <c r="D16" i="5" s="1"/>
  <c r="E16" i="5" s="1"/>
  <c r="I16" i="5" s="1"/>
  <c r="M16" i="5" s="1"/>
  <c r="A15" i="5"/>
  <c r="A14" i="5"/>
  <c r="A13" i="5"/>
  <c r="A12" i="5"/>
  <c r="A11" i="5"/>
  <c r="D11" i="5" s="1"/>
  <c r="E11" i="5" s="1"/>
  <c r="I11" i="5" s="1"/>
  <c r="M11" i="5" s="1"/>
  <c r="A10" i="5"/>
  <c r="D10" i="5" s="1"/>
  <c r="E10" i="5" s="1"/>
  <c r="I10" i="5" s="1"/>
  <c r="M10" i="5" s="1"/>
  <c r="A3" i="5"/>
  <c r="A4" i="5"/>
  <c r="D4" i="5" s="1"/>
  <c r="E4" i="5" s="1"/>
  <c r="I4" i="5" s="1"/>
  <c r="M4" i="5" s="1"/>
  <c r="A5" i="5"/>
  <c r="D5" i="5" s="1"/>
  <c r="E5" i="5" s="1"/>
  <c r="I5" i="5" s="1"/>
  <c r="M5" i="5" s="1"/>
  <c r="A6" i="5"/>
  <c r="D6" i="5" s="1"/>
  <c r="E6" i="5" s="1"/>
  <c r="I6" i="5" s="1"/>
  <c r="M6" i="5" s="1"/>
  <c r="A7" i="5"/>
  <c r="D7" i="5" s="1"/>
  <c r="E7" i="5" s="1"/>
  <c r="I7" i="5" s="1"/>
  <c r="M7" i="5" s="1"/>
  <c r="A8" i="5"/>
  <c r="A9" i="5"/>
  <c r="A2" i="5"/>
  <c r="D2" i="5" s="1"/>
  <c r="E2" i="5" s="1"/>
  <c r="I2" i="5" s="1"/>
  <c r="M2" i="5" s="1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D3" i="5"/>
  <c r="E3" i="5" s="1"/>
  <c r="I3" i="5" s="1"/>
  <c r="M3" i="5" s="1"/>
  <c r="E31" i="7"/>
  <c r="E28" i="7"/>
  <c r="E27" i="7"/>
  <c r="E26" i="7"/>
  <c r="E25" i="7"/>
  <c r="E24" i="7"/>
  <c r="E21" i="7"/>
  <c r="E20" i="7"/>
  <c r="E19" i="7"/>
  <c r="E18" i="7"/>
  <c r="E17" i="7"/>
  <c r="E14" i="7"/>
  <c r="E13" i="7"/>
  <c r="E12" i="7"/>
  <c r="E11" i="7"/>
  <c r="E10" i="7"/>
  <c r="E7" i="7"/>
  <c r="E6" i="7"/>
  <c r="E30" i="7"/>
  <c r="E29" i="7"/>
  <c r="E23" i="7"/>
  <c r="E22" i="7"/>
  <c r="E16" i="7"/>
  <c r="E15" i="7"/>
  <c r="E9" i="7"/>
  <c r="E8" i="7"/>
  <c r="E5" i="7"/>
  <c r="E4" i="7"/>
  <c r="E3" i="7"/>
  <c r="E2" i="7"/>
  <c r="E1" i="7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D32" i="5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9" i="5"/>
  <c r="E9" i="5" s="1"/>
  <c r="I9" i="5" s="1"/>
  <c r="M9" i="5" s="1"/>
  <c r="D8" i="5"/>
  <c r="E8" i="5" s="1"/>
  <c r="I8" i="5" s="1"/>
  <c r="M8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<sst xmlns="http://schemas.openxmlformats.org/spreadsheetml/2006/main" count="671" uniqueCount="182">
  <si>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</si>
  <si>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</si>
  <si>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</si>
  <si>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</si>
  <si>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</si>
  <si>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</si>
  <si>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</si>
  <si>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</si>
  <si>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</si>
  <si>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</si>
  <si>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</si>
  <si>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</si>
  <si>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</si>
  <si>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</si>
  <si>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</si>
  <si>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</si>
  <si>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</si>
  <si>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</si>
  <si>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</si>
  <si>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</si>
  <si>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</si>
  <si>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</si>
  <si>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</si>
  <si>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</si>
  <si>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</si>
  <si>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</si>
  <si>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</si>
  <si>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</si>
  <si>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</si>
  <si>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</si>
  <si>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</si>
  <si>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</si>
  <si>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</si>
  <si>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</si>
  <si>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</si>
  <si>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</si>
  <si>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</si>
  <si>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</si>
  <si>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</si>
  <si>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</si>
  <si>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</si>
  <si>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</si>
  <si>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</si>
  <si>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</si>
  <si>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</si>
  <si>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</si>
  <si>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</si>
  <si>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</si>
  <si>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</si>
  <si>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</si>
  <si>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</si>
  <si>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</si>
  <si>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</si>
  <si>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</si>
  <si>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</si>
  <si>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</si>
  <si>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</si>
  <si>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</si>
  <si>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</si>
  <si>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</si>
  <si>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</si>
  <si>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</si>
  <si>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</si>
  <si>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</si>
  <si>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</si>
  <si>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</si>
  <si>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</si>
  <si>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</si>
  <si>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</si>
  <si>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</si>
  <si>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</si>
  <si>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</si>
  <si>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</si>
  <si>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</si>
  <si>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</si>
  <si>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</si>
  <si>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</si>
  <si>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</si>
  <si>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</si>
  <si>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</si>
  <si>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</si>
  <si>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</si>
  <si>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</si>
  <si>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</si>
  <si>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</si>
  <si>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</si>
  <si>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</si>
  <si>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</si>
  <si>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</si>
  <si>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</si>
  <si>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</si>
  <si>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</si>
  <si>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</si>
  <si>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</si>
  <si>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</si>
  <si>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</si>
  <si>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</si>
  <si>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</si>
  <si>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</si>
  <si>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</si>
  <si>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</si>
  <si>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</si>
  <si>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</si>
  <si>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</si>
  <si>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</si>
  <si>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</si>
  <si>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</si>
  <si>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月</t>
  </si>
  <si>
    <t>月</t>
    <rPh sb="0" eb="1">
      <t>ゲツ</t>
    </rPh>
    <phoneticPr fontId="1"/>
  </si>
  <si>
    <t>02</t>
  </si>
  <si>
    <t>02</t>
    <phoneticPr fontId="1"/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</si>
  <si>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</si>
  <si>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</si>
  <si>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</si>
  <si>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</si>
  <si>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</si>
  <si>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</si>
  <si>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</si>
  <si>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</si>
  <si>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</si>
  <si>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</si>
  <si>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</si>
  <si>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</si>
  <si>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</si>
  <si>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</si>
  <si>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</si>
  <si>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</si>
  <si>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</si>
  <si>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</si>
  <si>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</si>
  <si>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01</t>
    <phoneticPr fontId="1"/>
  </si>
  <si>
    <t>03</t>
  </si>
  <si>
    <t>04</t>
  </si>
  <si>
    <t>05</t>
  </si>
  <si>
    <t>06</t>
  </si>
  <si>
    <t>07</t>
  </si>
  <si>
    <t>08</t>
  </si>
  <si>
    <t>09</t>
  </si>
  <si>
    <t>/</t>
    <phoneticPr fontId="1"/>
  </si>
  <si>
    <t>(</t>
    <phoneticPr fontId="1"/>
  </si>
  <si>
    <t>)</t>
    <phoneticPr fontId="1"/>
  </si>
  <si>
    <t>火</t>
  </si>
  <si>
    <t>水</t>
  </si>
  <si>
    <t>木</t>
  </si>
  <si>
    <t>金</t>
  </si>
  <si>
    <t>土</t>
  </si>
  <si>
    <t>日</t>
  </si>
  <si>
    <t xml:space="preserve"> 臨時休業</t>
    <rPh sb="1" eb="3">
      <t>リンジ</t>
    </rPh>
    <rPh sb="3" eb="5">
      <t>キュウギョウ</t>
    </rPh>
    <phoneticPr fontId="1"/>
  </si>
  <si>
    <t>土</t>
    <rPh sb="0" eb="1">
      <t>ド</t>
    </rPh>
    <phoneticPr fontId="1"/>
  </si>
  <si>
    <t>-</t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</si>
  <si>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</si>
  <si>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</si>
  <si>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</si>
  <si>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</si>
  <si>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</si>
  <si>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</si>
  <si>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</si>
  <si>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</si>
  <si>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</si>
  <si>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</si>
  <si>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</si>
  <si>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</si>
  <si>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</si>
  <si>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</si>
  <si>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</si>
  <si>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</si>
  <si>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</si>
  <si>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</si>
  <si>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</si>
  <si>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</si>
  <si>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</si>
  <si>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</si>
  <si>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</si>
  <si>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</si>
  <si>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</si>
  <si>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</si>
  <si>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</si>
  <si>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</si>
  <si>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</si>
  <si>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</si>
  <si>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</si>
  <si>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火</t>
    <rPh sb="0" eb="1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</si>
</sst>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"/>
    <numFmt numFmtId="180" formatCode="00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80" fontId="2" fillId="0" borderId="0" xfId="0" applyNumberFormat="1" applyFont="1" applyFill="1" applyAlignment="1">
      <alignment vertical="center" wrapText="1"/>
    </xf>
    <xf numFmtId="18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A2" sqref="A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R32"/>
  <sheetViews>
    <sheetView tabSelected="1" workbookViewId="0">
      <selection activeCell="P20" sqref="P20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  <col min="17" max="17" width="8.44140625" style="13" customWidth="1"/>
  </cols>
  <sheetData>
    <row r="1" spans="1:18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  <c r="Q1" s="12"/>
    </row>
    <row r="2" spans="1:18" ht="18" x14ac:dyDescent="0.2">
      <c r="A2" s="8" t="str">
        <f>"06/0"&amp;Q2&amp;"("&amp;R2&amp;")"</f>
        <v>06/01(火)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1日(火)</v>
      </c>
      <c r="F2" s="2">
        <v>5</v>
      </c>
      <c r="G2" s="2">
        <v>1</v>
      </c>
      <c r="H2" s="2" t="s">
        <v>37</v>
      </c>
      <c r="I2" s="2" t="str">
        <f>REPLACE(E2,F2,G2,H2)</f>
        <v>1日(火)&lt;/td&gt;&lt;td&gt;</v>
      </c>
      <c r="J2" s="2">
        <v>4</v>
      </c>
      <c r="K2" s="2">
        <v>1</v>
      </c>
      <c r="L2" s="2" t="s">
        <v>37</v>
      </c>
      <c r="M2" s="2" t="str">
        <f>MID(I2,J2,K2)</f>
        <v>火</v>
      </c>
      <c r="O2" s="2" t="str">
        <f t="shared" ref="O2:O11" si="0">IF(OR(M2="土", M2="日"), "&lt;tr class='weekend'&gt;&lt;td&gt;"&amp;I2, "&lt;tr&gt;&lt;td&gt;"&amp;I2)</f>
        <v>&lt;tr&gt;&lt;td&gt;1日(火)&lt;/td&gt;&lt;td&gt;</v>
      </c>
      <c r="P2" t="str">
        <f t="shared" ref="P2:P11" si="1">IF(M2="日", O2&amp;"&lt;span class='event_font'&gt;&amp;nbsp&amp;nbspセット料金半額DAY!&lt;/span&gt;&lt;/td&gt;&lt;/tr&gt;",O2&amp;"&lt;/td&gt;&lt;/tr&gt;")</f>
        <v>&lt;tr&gt;&lt;td&gt;1日(火)&lt;/td&gt;&lt;td&gt;&lt;/td&gt;&lt;/tr&gt;</v>
      </c>
      <c r="Q2" s="13">
        <f>ROW()-1</f>
        <v>1</v>
      </c>
      <c r="R2" t="s">
        <v>181</v>
      </c>
    </row>
    <row r="3" spans="1:18" ht="18" x14ac:dyDescent="0.2">
      <c r="A3" s="8" t="str">
        <f t="shared" ref="A3:A11" si="2">"06/0"&amp;Q3&amp;"("&amp;R3&amp;")"</f>
        <v>06/02(水)</v>
      </c>
      <c r="B3" s="2">
        <v>1</v>
      </c>
      <c r="C3" s="2">
        <v>5</v>
      </c>
      <c r="D3" s="2" t="str">
        <f t="shared" ref="D3:D10" si="3">MID(A3, 5, 1)&amp;"日"</f>
        <v>2日</v>
      </c>
      <c r="E3" s="2" t="str">
        <f t="shared" ref="E3:E32" si="4">REPLACE(A3,B3,C3,D3)</f>
        <v>2日(水)</v>
      </c>
      <c r="F3" s="2">
        <v>5</v>
      </c>
      <c r="G3" s="2">
        <v>1</v>
      </c>
      <c r="H3" s="2" t="s">
        <v>37</v>
      </c>
      <c r="I3" s="2" t="str">
        <f t="shared" ref="I3:I10" si="5">REPLACE(E3,F3,G3,H3)</f>
        <v>2日(水)&lt;/td&gt;&lt;td&gt;</v>
      </c>
      <c r="J3" s="2">
        <v>4</v>
      </c>
      <c r="K3" s="2">
        <v>1</v>
      </c>
      <c r="L3" s="2" t="s">
        <v>37</v>
      </c>
      <c r="M3" s="2" t="str">
        <f t="shared" ref="M3:M32" si="6">MID(I3,J3,K3)</f>
        <v>水</v>
      </c>
      <c r="O3" s="2" t="str">
        <f t="shared" si="0"/>
        <v>&lt;tr&gt;&lt;td&gt;2日(水)&lt;/td&gt;&lt;td&gt;</v>
      </c>
      <c r="P3" t="str">
        <f t="shared" si="1"/>
        <v>&lt;tr&gt;&lt;td&gt;2日(水)&lt;/td&gt;&lt;td&gt;&lt;/td&gt;&lt;/tr&gt;</v>
      </c>
      <c r="Q3" s="13">
        <f t="shared" ref="Q3:Q32" si="7">ROW()-1</f>
        <v>2</v>
      </c>
      <c r="R3" t="s">
        <v>142</v>
      </c>
    </row>
    <row r="4" spans="1:18" ht="18" x14ac:dyDescent="0.2">
      <c r="A4" s="8" t="str">
        <f t="shared" si="2"/>
        <v>06/03(木)</v>
      </c>
      <c r="B4" s="2">
        <v>1</v>
      </c>
      <c r="C4" s="2">
        <v>5</v>
      </c>
      <c r="D4" s="2" t="str">
        <f t="shared" si="3"/>
        <v>3日</v>
      </c>
      <c r="E4" s="2" t="str">
        <f t="shared" si="4"/>
        <v>3日(木)</v>
      </c>
      <c r="F4" s="2">
        <v>5</v>
      </c>
      <c r="G4" s="2">
        <v>1</v>
      </c>
      <c r="H4" s="2" t="s">
        <v>37</v>
      </c>
      <c r="I4" s="2" t="str">
        <f t="shared" si="5"/>
        <v>3日(木)&lt;/td&gt;&lt;td&gt;</v>
      </c>
      <c r="J4" s="2">
        <v>4</v>
      </c>
      <c r="K4" s="2">
        <v>1</v>
      </c>
      <c r="L4" s="2" t="s">
        <v>37</v>
      </c>
      <c r="M4" s="2" t="str">
        <f t="shared" si="6"/>
        <v>木</v>
      </c>
      <c r="O4" s="2" t="str">
        <f t="shared" si="0"/>
        <v>&lt;tr&gt;&lt;td&gt;3日(木)&lt;/td&gt;&lt;td&gt;</v>
      </c>
      <c r="P4" t="str">
        <f t="shared" si="1"/>
        <v>&lt;tr&gt;&lt;td&gt;3日(木)&lt;/td&gt;&lt;td&gt;&lt;/td&gt;&lt;/tr&gt;</v>
      </c>
      <c r="Q4" s="13">
        <f t="shared" si="7"/>
        <v>3</v>
      </c>
      <c r="R4" t="s">
        <v>143</v>
      </c>
    </row>
    <row r="5" spans="1:18" ht="18" x14ac:dyDescent="0.2">
      <c r="A5" s="8" t="str">
        <f t="shared" si="2"/>
        <v>06/04(金)</v>
      </c>
      <c r="B5" s="2">
        <v>1</v>
      </c>
      <c r="C5" s="2">
        <v>5</v>
      </c>
      <c r="D5" s="2" t="str">
        <f t="shared" si="3"/>
        <v>4日</v>
      </c>
      <c r="E5" s="2" t="str">
        <f t="shared" si="4"/>
        <v>4日(金)</v>
      </c>
      <c r="F5" s="2">
        <v>5</v>
      </c>
      <c r="G5" s="2">
        <v>1</v>
      </c>
      <c r="H5" s="2" t="s">
        <v>37</v>
      </c>
      <c r="I5" s="2" t="str">
        <f t="shared" si="5"/>
        <v>4日(金)&lt;/td&gt;&lt;td&gt;</v>
      </c>
      <c r="J5" s="2">
        <v>4</v>
      </c>
      <c r="K5" s="2">
        <v>1</v>
      </c>
      <c r="L5" s="2" t="s">
        <v>37</v>
      </c>
      <c r="M5" s="2" t="str">
        <f t="shared" si="6"/>
        <v>金</v>
      </c>
      <c r="O5" s="2" t="str">
        <f t="shared" si="0"/>
        <v>&lt;tr&gt;&lt;td&gt;4日(金)&lt;/td&gt;&lt;td&gt;</v>
      </c>
      <c r="P5" t="str">
        <f t="shared" si="1"/>
        <v>&lt;tr&gt;&lt;td&gt;4日(金)&lt;/td&gt;&lt;td&gt;&lt;/td&gt;&lt;/tr&gt;</v>
      </c>
      <c r="Q5" s="13">
        <f t="shared" si="7"/>
        <v>4</v>
      </c>
      <c r="R5" t="s">
        <v>144</v>
      </c>
    </row>
    <row r="6" spans="1:18" ht="18" x14ac:dyDescent="0.2">
      <c r="A6" s="8" t="str">
        <f t="shared" si="2"/>
        <v>06/05(土)</v>
      </c>
      <c r="B6" s="2">
        <v>1</v>
      </c>
      <c r="C6" s="2">
        <v>5</v>
      </c>
      <c r="D6" s="2" t="str">
        <f t="shared" si="3"/>
        <v>5日</v>
      </c>
      <c r="E6" s="2" t="str">
        <f t="shared" si="4"/>
        <v>5日(土)</v>
      </c>
      <c r="F6" s="2">
        <v>5</v>
      </c>
      <c r="G6" s="2">
        <v>1</v>
      </c>
      <c r="H6" s="2" t="s">
        <v>37</v>
      </c>
      <c r="I6" s="2" t="str">
        <f t="shared" si="5"/>
        <v>5日(土)&lt;/td&gt;&lt;td&gt;</v>
      </c>
      <c r="J6" s="2">
        <v>4</v>
      </c>
      <c r="K6" s="2">
        <v>1</v>
      </c>
      <c r="L6" s="2" t="s">
        <v>37</v>
      </c>
      <c r="M6" s="2" t="str">
        <f t="shared" si="6"/>
        <v>土</v>
      </c>
      <c r="O6" s="2" t="str">
        <f t="shared" si="0"/>
        <v>&lt;tr class='weekend'&gt;&lt;td&gt;5日(土)&lt;/td&gt;&lt;td&gt;</v>
      </c>
      <c r="P6" t="str">
        <f t="shared" si="1"/>
        <v>&lt;tr class='weekend'&gt;&lt;td&gt;5日(土)&lt;/td&gt;&lt;td&gt;&lt;/td&gt;&lt;/tr&gt;</v>
      </c>
      <c r="Q6" s="13">
        <f t="shared" si="7"/>
        <v>5</v>
      </c>
      <c r="R6" t="s">
        <v>145</v>
      </c>
    </row>
    <row r="7" spans="1:18" ht="18" x14ac:dyDescent="0.2">
      <c r="A7" s="8" t="str">
        <f t="shared" si="2"/>
        <v>06/06(日)</v>
      </c>
      <c r="B7" s="2">
        <v>1</v>
      </c>
      <c r="C7" s="2">
        <v>5</v>
      </c>
      <c r="D7" s="2" t="str">
        <f t="shared" si="3"/>
        <v>6日</v>
      </c>
      <c r="E7" s="2" t="str">
        <f t="shared" si="4"/>
        <v>6日(日)</v>
      </c>
      <c r="F7" s="2">
        <v>5</v>
      </c>
      <c r="G7" s="2">
        <v>1</v>
      </c>
      <c r="H7" s="2" t="s">
        <v>37</v>
      </c>
      <c r="I7" s="2" t="str">
        <f t="shared" si="5"/>
        <v>6日(日)&lt;/td&gt;&lt;td&gt;</v>
      </c>
      <c r="J7" s="2">
        <v>4</v>
      </c>
      <c r="K7" s="2">
        <v>1</v>
      </c>
      <c r="L7" s="2" t="s">
        <v>37</v>
      </c>
      <c r="M7" s="2" t="str">
        <f t="shared" si="6"/>
        <v>日</v>
      </c>
      <c r="O7" s="2" t="str">
        <f t="shared" si="0"/>
        <v>&lt;tr class='weekend'&gt;&lt;td&gt;6日(日)&lt;/td&gt;&lt;td&gt;</v>
      </c>
      <c r="P7" t="str">
        <f t="shared" si="1"/>
        <v>&lt;tr class='weekend'&gt;&lt;td&gt;6日(日)&lt;/td&gt;&lt;td&gt;&lt;span class='event_font'&gt;&amp;nbsp&amp;nbspセット料金半額DAY!&lt;/span&gt;&lt;/td&gt;&lt;/tr&gt;</v>
      </c>
      <c r="Q7" s="13">
        <f t="shared" si="7"/>
        <v>6</v>
      </c>
      <c r="R7" t="s">
        <v>146</v>
      </c>
    </row>
    <row r="8" spans="1:18" ht="18" x14ac:dyDescent="0.2">
      <c r="A8" s="8" t="str">
        <f t="shared" si="2"/>
        <v>06/07(月)</v>
      </c>
      <c r="B8" s="2">
        <v>1</v>
      </c>
      <c r="C8" s="2">
        <v>5</v>
      </c>
      <c r="D8" s="2" t="str">
        <f t="shared" si="3"/>
        <v>7日</v>
      </c>
      <c r="E8" s="2" t="str">
        <f t="shared" si="4"/>
        <v>7日(月)</v>
      </c>
      <c r="F8" s="2">
        <v>5</v>
      </c>
      <c r="G8" s="2">
        <v>1</v>
      </c>
      <c r="H8" s="2" t="s">
        <v>37</v>
      </c>
      <c r="I8" s="2" t="str">
        <f t="shared" si="5"/>
        <v>7日(月)&lt;/td&gt;&lt;td&gt;</v>
      </c>
      <c r="J8" s="2">
        <v>4</v>
      </c>
      <c r="K8" s="2">
        <v>1</v>
      </c>
      <c r="L8" s="2" t="s">
        <v>37</v>
      </c>
      <c r="M8" s="2" t="str">
        <f t="shared" si="6"/>
        <v>月</v>
      </c>
      <c r="O8" s="2" t="str">
        <f t="shared" si="0"/>
        <v>&lt;tr&gt;&lt;td&gt;7日(月)&lt;/td&gt;&lt;td&gt;</v>
      </c>
      <c r="P8" t="str">
        <f t="shared" si="1"/>
        <v>&lt;tr&gt;&lt;td&gt;7日(月)&lt;/td&gt;&lt;td&gt;&lt;/td&gt;&lt;/tr&gt;</v>
      </c>
      <c r="Q8" s="13">
        <f t="shared" si="7"/>
        <v>7</v>
      </c>
      <c r="R8" t="s">
        <v>107</v>
      </c>
    </row>
    <row r="9" spans="1:18" ht="18" x14ac:dyDescent="0.2">
      <c r="A9" s="8" t="str">
        <f t="shared" si="2"/>
        <v>06/08(火)</v>
      </c>
      <c r="B9" s="2">
        <v>1</v>
      </c>
      <c r="C9" s="2">
        <v>5</v>
      </c>
      <c r="D9" s="2" t="str">
        <f t="shared" si="3"/>
        <v>8日</v>
      </c>
      <c r="E9" s="2" t="str">
        <f t="shared" si="4"/>
        <v>8日(火)</v>
      </c>
      <c r="F9" s="2">
        <v>5</v>
      </c>
      <c r="G9" s="2">
        <v>1</v>
      </c>
      <c r="H9" s="2" t="s">
        <v>37</v>
      </c>
      <c r="I9" s="2" t="str">
        <f t="shared" si="5"/>
        <v>8日(火)&lt;/td&gt;&lt;td&gt;</v>
      </c>
      <c r="J9" s="2">
        <v>4</v>
      </c>
      <c r="K9" s="2">
        <v>1</v>
      </c>
      <c r="L9" s="2" t="s">
        <v>37</v>
      </c>
      <c r="M9" s="2" t="str">
        <f t="shared" si="6"/>
        <v>火</v>
      </c>
      <c r="O9" s="2" t="str">
        <f t="shared" si="0"/>
        <v>&lt;tr&gt;&lt;td&gt;8日(火)&lt;/td&gt;&lt;td&gt;</v>
      </c>
      <c r="P9" t="str">
        <f t="shared" si="1"/>
        <v>&lt;tr&gt;&lt;td&gt;8日(火)&lt;/td&gt;&lt;td&gt;&lt;/td&gt;&lt;/tr&gt;</v>
      </c>
      <c r="Q9" s="13">
        <f t="shared" si="7"/>
        <v>8</v>
      </c>
      <c r="R9" t="s">
        <v>141</v>
      </c>
    </row>
    <row r="10" spans="1:18" ht="18" x14ac:dyDescent="0.2">
      <c r="A10" s="8" t="str">
        <f>"06/0"&amp;Q10&amp;"("&amp;R10&amp;")"</f>
        <v>06/09(水)</v>
      </c>
      <c r="B10" s="2">
        <v>1</v>
      </c>
      <c r="C10" s="2">
        <v>5</v>
      </c>
      <c r="D10" s="2" t="str">
        <f t="shared" si="3"/>
        <v>9日</v>
      </c>
      <c r="E10" s="2" t="str">
        <f t="shared" si="4"/>
        <v>9日(水)</v>
      </c>
      <c r="F10" s="2">
        <v>5</v>
      </c>
      <c r="G10" s="2">
        <v>1</v>
      </c>
      <c r="H10" s="2" t="s">
        <v>37</v>
      </c>
      <c r="I10" s="2" t="str">
        <f t="shared" si="5"/>
        <v>9日(水)&lt;/td&gt;&lt;td&gt;</v>
      </c>
      <c r="J10" s="2">
        <v>4</v>
      </c>
      <c r="K10" s="2">
        <v>1</v>
      </c>
      <c r="L10" s="2" t="s">
        <v>37</v>
      </c>
      <c r="M10" s="2" t="str">
        <f t="shared" si="6"/>
        <v>水</v>
      </c>
      <c r="O10" s="2" t="str">
        <f t="shared" si="0"/>
        <v>&lt;tr&gt;&lt;td&gt;9日(水)&lt;/td&gt;&lt;td&gt;</v>
      </c>
      <c r="P10" t="str">
        <f t="shared" si="1"/>
        <v>&lt;tr&gt;&lt;td&gt;9日(水)&lt;/td&gt;&lt;td&gt;&lt;/td&gt;&lt;/tr&gt;</v>
      </c>
      <c r="Q10" s="13">
        <f t="shared" si="7"/>
        <v>9</v>
      </c>
      <c r="R10" t="s">
        <v>142</v>
      </c>
    </row>
    <row r="11" spans="1:18" ht="18" x14ac:dyDescent="0.2">
      <c r="A11" s="8" t="str">
        <f>"06/"&amp;Q11&amp;"("&amp;R11&amp;")"</f>
        <v>06/10(木)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4"/>
        <v>10日(木)</v>
      </c>
      <c r="F11" s="2">
        <v>6</v>
      </c>
      <c r="G11" s="2">
        <v>1</v>
      </c>
      <c r="H11" s="2" t="s">
        <v>37</v>
      </c>
      <c r="I11" s="2" t="str">
        <f>REPLACE(E11,F11,G11,H11)</f>
        <v>10日(木)&lt;/td&gt;&lt;td&gt;</v>
      </c>
      <c r="J11" s="2">
        <v>5</v>
      </c>
      <c r="K11" s="2">
        <v>1</v>
      </c>
      <c r="L11" s="2" t="s">
        <v>37</v>
      </c>
      <c r="M11" s="2" t="str">
        <f t="shared" si="6"/>
        <v>木</v>
      </c>
      <c r="O11" s="2" t="str">
        <f t="shared" si="0"/>
        <v>&lt;tr&gt;&lt;td&gt;10日(木)&lt;/td&gt;&lt;td&gt;</v>
      </c>
      <c r="P11" t="str">
        <f t="shared" si="1"/>
        <v>&lt;tr&gt;&lt;td&gt;10日(木)&lt;/td&gt;&lt;td&gt;&lt;/td&gt;&lt;/tr&gt;</v>
      </c>
      <c r="Q11" s="13">
        <f t="shared" si="7"/>
        <v>10</v>
      </c>
      <c r="R11" t="s">
        <v>143</v>
      </c>
    </row>
    <row r="12" spans="1:18" ht="18" x14ac:dyDescent="0.2">
      <c r="A12" s="8" t="str">
        <f t="shared" ref="A12:A32" si="8">"06/"&amp;Q12&amp;"("&amp;R12&amp;")"</f>
        <v>06/11(金)</v>
      </c>
      <c r="B12" s="2">
        <v>1</v>
      </c>
      <c r="C12" s="2">
        <v>5</v>
      </c>
      <c r="D12" s="2" t="str">
        <f t="shared" ref="D12:D32" si="9">MID(A12, 4, 2)&amp;"日"</f>
        <v>11日</v>
      </c>
      <c r="E12" s="2" t="str">
        <f t="shared" si="4"/>
        <v>11日(金)</v>
      </c>
      <c r="F12" s="2">
        <v>6</v>
      </c>
      <c r="G12" s="2">
        <v>1</v>
      </c>
      <c r="H12" s="2" t="s">
        <v>37</v>
      </c>
      <c r="I12" s="2" t="str">
        <f t="shared" ref="I12:I32" si="10">REPLACE(E12,F12,G12,H12)</f>
        <v>11日(金)&lt;/td&gt;&lt;td&gt;</v>
      </c>
      <c r="J12" s="2">
        <v>5</v>
      </c>
      <c r="K12" s="2">
        <v>1</v>
      </c>
      <c r="L12" s="2" t="s">
        <v>37</v>
      </c>
      <c r="M12" s="2" t="str">
        <f t="shared" si="6"/>
        <v>金</v>
      </c>
      <c r="O12" s="2" t="str">
        <f>IF(OR(M12="土", M12="日"), "&lt;tr class='weekend'&gt;&lt;td&gt;"&amp;I12, "&lt;tr&gt;&lt;td&gt;"&amp;I12)</f>
        <v>&lt;tr&gt;&lt;td&gt;11日(金)&lt;/td&gt;&lt;td&gt;</v>
      </c>
      <c r="P12" t="str">
        <f>IF(M12="日", O12&amp;"&lt;span class='event_font'&gt;&amp;nbsp&amp;nbspセット料金半額DAY!&lt;/span&gt;&lt;/td&gt;&lt;/tr&gt;",O12&amp;"&lt;/td&gt;&lt;/tr&gt;")</f>
        <v>&lt;tr&gt;&lt;td&gt;11日(金)&lt;/td&gt;&lt;td&gt;&lt;/td&gt;&lt;/tr&gt;</v>
      </c>
      <c r="Q12" s="13">
        <f t="shared" si="7"/>
        <v>11</v>
      </c>
      <c r="R12" t="s">
        <v>144</v>
      </c>
    </row>
    <row r="13" spans="1:18" ht="18" x14ac:dyDescent="0.2">
      <c r="A13" s="8" t="str">
        <f t="shared" si="8"/>
        <v>06/12(土)</v>
      </c>
      <c r="B13" s="2">
        <v>1</v>
      </c>
      <c r="C13" s="2">
        <v>5</v>
      </c>
      <c r="D13" s="2" t="str">
        <f t="shared" si="9"/>
        <v>12日</v>
      </c>
      <c r="E13" s="2" t="str">
        <f t="shared" si="4"/>
        <v>12日(土)</v>
      </c>
      <c r="F13" s="2">
        <v>6</v>
      </c>
      <c r="G13" s="2">
        <v>1</v>
      </c>
      <c r="H13" s="2" t="s">
        <v>37</v>
      </c>
      <c r="I13" s="2" t="str">
        <f t="shared" si="10"/>
        <v>12日(土)&lt;/td&gt;&lt;td&gt;</v>
      </c>
      <c r="J13" s="2">
        <v>5</v>
      </c>
      <c r="K13" s="2">
        <v>1</v>
      </c>
      <c r="L13" s="2" t="s">
        <v>37</v>
      </c>
      <c r="M13" s="2" t="str">
        <f t="shared" si="6"/>
        <v>土</v>
      </c>
      <c r="O13" s="2" t="str">
        <f t="shared" ref="O13:O32" si="11">IF(OR(M13="土", M13="日"), "&lt;tr class='weekend'&gt;&lt;td&gt;"&amp;I13, "&lt;tr&gt;&lt;td&gt;"&amp;I13)</f>
        <v>&lt;tr class='weekend'&gt;&lt;td&gt;12日(土)&lt;/td&gt;&lt;td&gt;</v>
      </c>
      <c r="P13" t="str">
        <f t="shared" ref="P13:P32" si="12">IF(M13="日", O13&amp;"&lt;span class='event_font'&gt;&amp;nbsp&amp;nbspセット料金半額DAY!&lt;/span&gt;&lt;/td&gt;&lt;/tr&gt;",O13&amp;"&lt;/td&gt;&lt;/tr&gt;")</f>
        <v>&lt;tr class='weekend'&gt;&lt;td&gt;12日(土)&lt;/td&gt;&lt;td&gt;&lt;/td&gt;&lt;/tr&gt;</v>
      </c>
      <c r="Q13" s="13">
        <f t="shared" si="7"/>
        <v>12</v>
      </c>
      <c r="R13" t="s">
        <v>145</v>
      </c>
    </row>
    <row r="14" spans="1:18" ht="18" x14ac:dyDescent="0.2">
      <c r="A14" s="8" t="str">
        <f t="shared" si="8"/>
        <v>06/13(日)</v>
      </c>
      <c r="B14" s="2">
        <v>1</v>
      </c>
      <c r="C14" s="2">
        <v>5</v>
      </c>
      <c r="D14" s="2" t="str">
        <f t="shared" si="9"/>
        <v>13日</v>
      </c>
      <c r="E14" s="2" t="str">
        <f t="shared" si="4"/>
        <v>13日(日)</v>
      </c>
      <c r="F14" s="2">
        <v>6</v>
      </c>
      <c r="G14" s="2">
        <v>1</v>
      </c>
      <c r="H14" s="2" t="s">
        <v>37</v>
      </c>
      <c r="I14" s="2" t="str">
        <f t="shared" si="10"/>
        <v>13日(日)&lt;/td&gt;&lt;td&gt;</v>
      </c>
      <c r="J14" s="2">
        <v>5</v>
      </c>
      <c r="K14" s="2">
        <v>1</v>
      </c>
      <c r="L14" s="2" t="s">
        <v>37</v>
      </c>
      <c r="M14" s="2" t="str">
        <f t="shared" si="6"/>
        <v>日</v>
      </c>
      <c r="O14" s="2" t="str">
        <f t="shared" si="11"/>
        <v>&lt;tr class='weekend'&gt;&lt;td&gt;13日(日)&lt;/td&gt;&lt;td&gt;</v>
      </c>
      <c r="P14" t="str">
        <f t="shared" si="12"/>
        <v>&lt;tr class='weekend'&gt;&lt;td&gt;13日(日)&lt;/td&gt;&lt;td&gt;&lt;span class='event_font'&gt;&amp;nbsp&amp;nbspセット料金半額DAY!&lt;/span&gt;&lt;/td&gt;&lt;/tr&gt;</v>
      </c>
      <c r="Q14" s="13">
        <f t="shared" si="7"/>
        <v>13</v>
      </c>
      <c r="R14" t="s">
        <v>146</v>
      </c>
    </row>
    <row r="15" spans="1:18" ht="18" x14ac:dyDescent="0.2">
      <c r="A15" s="8" t="str">
        <f t="shared" si="8"/>
        <v>06/14(月)</v>
      </c>
      <c r="B15" s="2">
        <v>1</v>
      </c>
      <c r="C15" s="2">
        <v>5</v>
      </c>
      <c r="D15" s="2" t="str">
        <f t="shared" si="9"/>
        <v>14日</v>
      </c>
      <c r="E15" s="2" t="str">
        <f t="shared" si="4"/>
        <v>14日(月)</v>
      </c>
      <c r="F15" s="2">
        <v>6</v>
      </c>
      <c r="G15" s="2">
        <v>1</v>
      </c>
      <c r="H15" s="2" t="s">
        <v>37</v>
      </c>
      <c r="I15" s="2" t="str">
        <f t="shared" si="10"/>
        <v>14日(月)&lt;/td&gt;&lt;td&gt;</v>
      </c>
      <c r="J15" s="2">
        <v>5</v>
      </c>
      <c r="K15" s="2">
        <v>1</v>
      </c>
      <c r="L15" s="2" t="s">
        <v>37</v>
      </c>
      <c r="M15" s="2" t="str">
        <f t="shared" si="6"/>
        <v>月</v>
      </c>
      <c r="O15" s="2" t="str">
        <f t="shared" si="11"/>
        <v>&lt;tr&gt;&lt;td&gt;14日(月)&lt;/td&gt;&lt;td&gt;</v>
      </c>
      <c r="P15" t="str">
        <f t="shared" si="12"/>
        <v>&lt;tr&gt;&lt;td&gt;14日(月)&lt;/td&gt;&lt;td&gt;&lt;/td&gt;&lt;/tr&gt;</v>
      </c>
      <c r="Q15" s="13">
        <f t="shared" si="7"/>
        <v>14</v>
      </c>
      <c r="R15" t="s">
        <v>107</v>
      </c>
    </row>
    <row r="16" spans="1:18" ht="18" x14ac:dyDescent="0.2">
      <c r="A16" s="8" t="str">
        <f t="shared" si="8"/>
        <v>06/15(火)</v>
      </c>
      <c r="B16" s="2">
        <v>1</v>
      </c>
      <c r="C16" s="2">
        <v>5</v>
      </c>
      <c r="D16" s="2" t="str">
        <f t="shared" si="9"/>
        <v>15日</v>
      </c>
      <c r="E16" s="2" t="str">
        <f t="shared" si="4"/>
        <v>15日(火)</v>
      </c>
      <c r="F16" s="2">
        <v>6</v>
      </c>
      <c r="G16" s="2">
        <v>1</v>
      </c>
      <c r="H16" s="2" t="s">
        <v>37</v>
      </c>
      <c r="I16" s="2" t="str">
        <f t="shared" si="10"/>
        <v>15日(火)&lt;/td&gt;&lt;td&gt;</v>
      </c>
      <c r="J16" s="2">
        <v>5</v>
      </c>
      <c r="K16" s="2">
        <v>1</v>
      </c>
      <c r="L16" s="2" t="s">
        <v>37</v>
      </c>
      <c r="M16" s="2" t="str">
        <f t="shared" si="6"/>
        <v>火</v>
      </c>
      <c r="O16" s="2" t="str">
        <f t="shared" si="11"/>
        <v>&lt;tr&gt;&lt;td&gt;15日(火)&lt;/td&gt;&lt;td&gt;</v>
      </c>
      <c r="P16" t="str">
        <f t="shared" si="12"/>
        <v>&lt;tr&gt;&lt;td&gt;15日(火)&lt;/td&gt;&lt;td&gt;&lt;/td&gt;&lt;/tr&gt;</v>
      </c>
      <c r="Q16" s="13">
        <f t="shared" si="7"/>
        <v>15</v>
      </c>
      <c r="R16" t="s">
        <v>141</v>
      </c>
    </row>
    <row r="17" spans="1:18" ht="18" x14ac:dyDescent="0.2">
      <c r="A17" s="8" t="str">
        <f t="shared" si="8"/>
        <v>06/16(水)</v>
      </c>
      <c r="B17" s="2">
        <v>1</v>
      </c>
      <c r="C17" s="2">
        <v>5</v>
      </c>
      <c r="D17" s="2" t="str">
        <f t="shared" si="9"/>
        <v>16日</v>
      </c>
      <c r="E17" s="2" t="str">
        <f t="shared" si="4"/>
        <v>16日(水)</v>
      </c>
      <c r="F17" s="2">
        <v>6</v>
      </c>
      <c r="G17" s="2">
        <v>1</v>
      </c>
      <c r="H17" s="2" t="s">
        <v>37</v>
      </c>
      <c r="I17" s="2" t="str">
        <f t="shared" si="10"/>
        <v>16日(水)&lt;/td&gt;&lt;td&gt;</v>
      </c>
      <c r="J17" s="2">
        <v>5</v>
      </c>
      <c r="K17" s="2">
        <v>1</v>
      </c>
      <c r="L17" s="2" t="s">
        <v>37</v>
      </c>
      <c r="M17" s="2" t="str">
        <f t="shared" si="6"/>
        <v>水</v>
      </c>
      <c r="O17" s="2" t="str">
        <f t="shared" si="11"/>
        <v>&lt;tr&gt;&lt;td&gt;16日(水)&lt;/td&gt;&lt;td&gt;</v>
      </c>
      <c r="P17" t="str">
        <f t="shared" si="12"/>
        <v>&lt;tr&gt;&lt;td&gt;16日(水)&lt;/td&gt;&lt;td&gt;&lt;/td&gt;&lt;/tr&gt;</v>
      </c>
      <c r="Q17" s="13">
        <f t="shared" si="7"/>
        <v>16</v>
      </c>
      <c r="R17" t="s">
        <v>142</v>
      </c>
    </row>
    <row r="18" spans="1:18" ht="18" x14ac:dyDescent="0.2">
      <c r="A18" s="8" t="str">
        <f t="shared" si="8"/>
        <v>06/17(木)</v>
      </c>
      <c r="B18" s="2">
        <v>1</v>
      </c>
      <c r="C18" s="2">
        <v>5</v>
      </c>
      <c r="D18" s="2" t="str">
        <f t="shared" si="9"/>
        <v>17日</v>
      </c>
      <c r="E18" s="2" t="str">
        <f t="shared" si="4"/>
        <v>17日(木)</v>
      </c>
      <c r="F18" s="2">
        <v>6</v>
      </c>
      <c r="G18" s="2">
        <v>1</v>
      </c>
      <c r="H18" s="2" t="s">
        <v>37</v>
      </c>
      <c r="I18" s="2" t="str">
        <f t="shared" si="10"/>
        <v>17日(木)&lt;/td&gt;&lt;td&gt;</v>
      </c>
      <c r="J18" s="2">
        <v>5</v>
      </c>
      <c r="K18" s="2">
        <v>1</v>
      </c>
      <c r="L18" s="2" t="s">
        <v>37</v>
      </c>
      <c r="M18" s="2" t="str">
        <f t="shared" si="6"/>
        <v>木</v>
      </c>
      <c r="O18" s="2" t="str">
        <f t="shared" si="11"/>
        <v>&lt;tr&gt;&lt;td&gt;17日(木)&lt;/td&gt;&lt;td&gt;</v>
      </c>
      <c r="P18" t="str">
        <f t="shared" si="12"/>
        <v>&lt;tr&gt;&lt;td&gt;17日(木)&lt;/td&gt;&lt;td&gt;&lt;/td&gt;&lt;/tr&gt;</v>
      </c>
      <c r="Q18" s="13">
        <f t="shared" si="7"/>
        <v>17</v>
      </c>
      <c r="R18" t="s">
        <v>143</v>
      </c>
    </row>
    <row r="19" spans="1:18" ht="18" x14ac:dyDescent="0.2">
      <c r="A19" s="8" t="str">
        <f t="shared" si="8"/>
        <v>06/18(金)</v>
      </c>
      <c r="B19" s="2">
        <v>1</v>
      </c>
      <c r="C19" s="2">
        <v>5</v>
      </c>
      <c r="D19" s="2" t="str">
        <f t="shared" si="9"/>
        <v>18日</v>
      </c>
      <c r="E19" s="2" t="str">
        <f t="shared" si="4"/>
        <v>18日(金)</v>
      </c>
      <c r="F19" s="2">
        <v>6</v>
      </c>
      <c r="G19" s="2">
        <v>1</v>
      </c>
      <c r="H19" s="2" t="s">
        <v>37</v>
      </c>
      <c r="I19" s="2" t="str">
        <f t="shared" si="10"/>
        <v>18日(金)&lt;/td&gt;&lt;td&gt;</v>
      </c>
      <c r="J19" s="2">
        <v>5</v>
      </c>
      <c r="K19" s="2">
        <v>1</v>
      </c>
      <c r="L19" s="2" t="s">
        <v>37</v>
      </c>
      <c r="M19" s="2" t="str">
        <f t="shared" si="6"/>
        <v>金</v>
      </c>
      <c r="O19" s="2" t="str">
        <f t="shared" si="11"/>
        <v>&lt;tr&gt;&lt;td&gt;18日(金)&lt;/td&gt;&lt;td&gt;</v>
      </c>
      <c r="P19" t="str">
        <f t="shared" si="12"/>
        <v>&lt;tr&gt;&lt;td&gt;18日(金)&lt;/td&gt;&lt;td&gt;&lt;/td&gt;&lt;/tr&gt;</v>
      </c>
      <c r="Q19" s="13">
        <f t="shared" si="7"/>
        <v>18</v>
      </c>
      <c r="R19" t="s">
        <v>144</v>
      </c>
    </row>
    <row r="20" spans="1:18" ht="18" x14ac:dyDescent="0.2">
      <c r="A20" s="8" t="str">
        <f t="shared" si="8"/>
        <v>06/19(土)</v>
      </c>
      <c r="B20" s="2">
        <v>1</v>
      </c>
      <c r="C20" s="2">
        <v>5</v>
      </c>
      <c r="D20" s="2" t="str">
        <f t="shared" si="9"/>
        <v>19日</v>
      </c>
      <c r="E20" s="2" t="str">
        <f t="shared" si="4"/>
        <v>19日(土)</v>
      </c>
      <c r="F20" s="2">
        <v>6</v>
      </c>
      <c r="G20" s="2">
        <v>1</v>
      </c>
      <c r="H20" s="2" t="s">
        <v>37</v>
      </c>
      <c r="I20" s="2" t="str">
        <f t="shared" si="10"/>
        <v>19日(土)&lt;/td&gt;&lt;td&gt;</v>
      </c>
      <c r="J20" s="2">
        <v>5</v>
      </c>
      <c r="K20" s="2">
        <v>1</v>
      </c>
      <c r="L20" s="2" t="s">
        <v>37</v>
      </c>
      <c r="M20" s="2" t="str">
        <f t="shared" si="6"/>
        <v>土</v>
      </c>
      <c r="O20" s="2" t="str">
        <f t="shared" si="11"/>
        <v>&lt;tr class='weekend'&gt;&lt;td&gt;19日(土)&lt;/td&gt;&lt;td&gt;</v>
      </c>
      <c r="P20" t="str">
        <f t="shared" si="12"/>
        <v>&lt;tr class='weekend'&gt;&lt;td&gt;19日(土)&lt;/td&gt;&lt;td&gt;&lt;/td&gt;&lt;/tr&gt;</v>
      </c>
      <c r="Q20" s="13">
        <f t="shared" si="7"/>
        <v>19</v>
      </c>
      <c r="R20" t="s">
        <v>145</v>
      </c>
    </row>
    <row r="21" spans="1:18" ht="18" x14ac:dyDescent="0.2">
      <c r="A21" s="8" t="str">
        <f t="shared" si="8"/>
        <v>06/20(日)</v>
      </c>
      <c r="B21" s="2">
        <v>1</v>
      </c>
      <c r="C21" s="2">
        <v>5</v>
      </c>
      <c r="D21" s="2" t="str">
        <f t="shared" si="9"/>
        <v>20日</v>
      </c>
      <c r="E21" s="2" t="str">
        <f t="shared" si="4"/>
        <v>20日(日)</v>
      </c>
      <c r="F21" s="2">
        <v>6</v>
      </c>
      <c r="G21" s="2">
        <v>1</v>
      </c>
      <c r="H21" s="2" t="s">
        <v>37</v>
      </c>
      <c r="I21" s="2" t="str">
        <f t="shared" si="10"/>
        <v>20日(日)&lt;/td&gt;&lt;td&gt;</v>
      </c>
      <c r="J21" s="2">
        <v>5</v>
      </c>
      <c r="K21" s="2">
        <v>1</v>
      </c>
      <c r="L21" s="2" t="s">
        <v>37</v>
      </c>
      <c r="M21" s="2" t="str">
        <f t="shared" si="6"/>
        <v>日</v>
      </c>
      <c r="O21" s="2" t="str">
        <f t="shared" si="11"/>
        <v>&lt;tr class='weekend'&gt;&lt;td&gt;20日(日)&lt;/td&gt;&lt;td&gt;</v>
      </c>
      <c r="P21" t="str">
        <f t="shared" si="12"/>
        <v>&lt;tr class='weekend'&gt;&lt;td&gt;20日(日)&lt;/td&gt;&lt;td&gt;&lt;span class='event_font'&gt;&amp;nbsp&amp;nbspセット料金半額DAY!&lt;/span&gt;&lt;/td&gt;&lt;/tr&gt;</v>
      </c>
      <c r="Q21" s="13">
        <f t="shared" si="7"/>
        <v>20</v>
      </c>
      <c r="R21" t="s">
        <v>146</v>
      </c>
    </row>
    <row r="22" spans="1:18" ht="18" x14ac:dyDescent="0.2">
      <c r="A22" s="8" t="str">
        <f t="shared" si="8"/>
        <v>06/21(月)</v>
      </c>
      <c r="B22" s="2">
        <v>1</v>
      </c>
      <c r="C22" s="2">
        <v>5</v>
      </c>
      <c r="D22" s="2" t="str">
        <f t="shared" si="9"/>
        <v>21日</v>
      </c>
      <c r="E22" s="2" t="str">
        <f t="shared" si="4"/>
        <v>21日(月)</v>
      </c>
      <c r="F22" s="2">
        <v>6</v>
      </c>
      <c r="G22" s="2">
        <v>1</v>
      </c>
      <c r="H22" s="2" t="s">
        <v>37</v>
      </c>
      <c r="I22" s="2" t="str">
        <f t="shared" si="10"/>
        <v>21日(月)&lt;/td&gt;&lt;td&gt;</v>
      </c>
      <c r="J22" s="2">
        <v>5</v>
      </c>
      <c r="K22" s="2">
        <v>1</v>
      </c>
      <c r="L22" s="2" t="s">
        <v>37</v>
      </c>
      <c r="M22" s="2" t="str">
        <f t="shared" si="6"/>
        <v>月</v>
      </c>
      <c r="O22" s="2" t="str">
        <f t="shared" si="11"/>
        <v>&lt;tr&gt;&lt;td&gt;21日(月)&lt;/td&gt;&lt;td&gt;</v>
      </c>
      <c r="P22" t="str">
        <f t="shared" si="12"/>
        <v>&lt;tr&gt;&lt;td&gt;21日(月)&lt;/td&gt;&lt;td&gt;&lt;/td&gt;&lt;/tr&gt;</v>
      </c>
      <c r="Q22" s="13">
        <f t="shared" si="7"/>
        <v>21</v>
      </c>
      <c r="R22" t="s">
        <v>107</v>
      </c>
    </row>
    <row r="23" spans="1:18" ht="18" x14ac:dyDescent="0.2">
      <c r="A23" s="8" t="str">
        <f t="shared" si="8"/>
        <v>06/22(火)</v>
      </c>
      <c r="B23" s="2">
        <v>1</v>
      </c>
      <c r="C23" s="2">
        <v>5</v>
      </c>
      <c r="D23" s="2" t="str">
        <f t="shared" si="9"/>
        <v>22日</v>
      </c>
      <c r="E23" s="2" t="str">
        <f t="shared" si="4"/>
        <v>22日(火)</v>
      </c>
      <c r="F23" s="2">
        <v>6</v>
      </c>
      <c r="G23" s="2">
        <v>1</v>
      </c>
      <c r="H23" s="2" t="s">
        <v>37</v>
      </c>
      <c r="I23" s="2" t="str">
        <f t="shared" si="10"/>
        <v>22日(火)&lt;/td&gt;&lt;td&gt;</v>
      </c>
      <c r="J23" s="2">
        <v>5</v>
      </c>
      <c r="K23" s="2">
        <v>1</v>
      </c>
      <c r="L23" s="2" t="s">
        <v>37</v>
      </c>
      <c r="M23" s="2" t="str">
        <f t="shared" si="6"/>
        <v>火</v>
      </c>
      <c r="O23" s="2" t="str">
        <f t="shared" si="11"/>
        <v>&lt;tr&gt;&lt;td&gt;22日(火)&lt;/td&gt;&lt;td&gt;</v>
      </c>
      <c r="P23" t="str">
        <f t="shared" si="12"/>
        <v>&lt;tr&gt;&lt;td&gt;22日(火)&lt;/td&gt;&lt;td&gt;&lt;/td&gt;&lt;/tr&gt;</v>
      </c>
      <c r="Q23" s="13">
        <f t="shared" si="7"/>
        <v>22</v>
      </c>
      <c r="R23" t="s">
        <v>141</v>
      </c>
    </row>
    <row r="24" spans="1:18" ht="18" x14ac:dyDescent="0.2">
      <c r="A24" s="8" t="str">
        <f t="shared" si="8"/>
        <v>06/23(水)</v>
      </c>
      <c r="B24" s="2">
        <v>1</v>
      </c>
      <c r="C24" s="2">
        <v>5</v>
      </c>
      <c r="D24" s="2" t="str">
        <f t="shared" si="9"/>
        <v>23日</v>
      </c>
      <c r="E24" s="2" t="str">
        <f t="shared" si="4"/>
        <v>23日(水)</v>
      </c>
      <c r="F24" s="2">
        <v>6</v>
      </c>
      <c r="G24" s="2">
        <v>1</v>
      </c>
      <c r="H24" s="2" t="s">
        <v>37</v>
      </c>
      <c r="I24" s="2" t="str">
        <f t="shared" si="10"/>
        <v>23日(水)&lt;/td&gt;&lt;td&gt;</v>
      </c>
      <c r="J24" s="2">
        <v>5</v>
      </c>
      <c r="K24" s="2">
        <v>1</v>
      </c>
      <c r="L24" s="2" t="s">
        <v>37</v>
      </c>
      <c r="M24" s="2" t="str">
        <f t="shared" si="6"/>
        <v>水</v>
      </c>
      <c r="O24" s="2" t="str">
        <f t="shared" si="11"/>
        <v>&lt;tr&gt;&lt;td&gt;23日(水)&lt;/td&gt;&lt;td&gt;</v>
      </c>
      <c r="P24" t="str">
        <f t="shared" si="12"/>
        <v>&lt;tr&gt;&lt;td&gt;23日(水)&lt;/td&gt;&lt;td&gt;&lt;/td&gt;&lt;/tr&gt;</v>
      </c>
      <c r="Q24" s="13">
        <f t="shared" si="7"/>
        <v>23</v>
      </c>
      <c r="R24" t="s">
        <v>142</v>
      </c>
    </row>
    <row r="25" spans="1:18" ht="18" x14ac:dyDescent="0.2">
      <c r="A25" s="8" t="str">
        <f t="shared" si="8"/>
        <v>06/24(木)</v>
      </c>
      <c r="B25" s="2">
        <v>1</v>
      </c>
      <c r="C25" s="2">
        <v>5</v>
      </c>
      <c r="D25" s="2" t="str">
        <f t="shared" si="9"/>
        <v>24日</v>
      </c>
      <c r="E25" s="2" t="str">
        <f t="shared" si="4"/>
        <v>24日(木)</v>
      </c>
      <c r="F25" s="2">
        <v>6</v>
      </c>
      <c r="G25" s="2">
        <v>1</v>
      </c>
      <c r="H25" s="2" t="s">
        <v>37</v>
      </c>
      <c r="I25" s="2" t="str">
        <f t="shared" si="10"/>
        <v>24日(木)&lt;/td&gt;&lt;td&gt;</v>
      </c>
      <c r="J25" s="2">
        <v>5</v>
      </c>
      <c r="K25" s="2">
        <v>1</v>
      </c>
      <c r="L25" s="2" t="s">
        <v>37</v>
      </c>
      <c r="M25" s="2" t="str">
        <f t="shared" si="6"/>
        <v>木</v>
      </c>
      <c r="O25" s="2" t="str">
        <f t="shared" si="11"/>
        <v>&lt;tr&gt;&lt;td&gt;24日(木)&lt;/td&gt;&lt;td&gt;</v>
      </c>
      <c r="P25" t="str">
        <f t="shared" si="12"/>
        <v>&lt;tr&gt;&lt;td&gt;24日(木)&lt;/td&gt;&lt;td&gt;&lt;/td&gt;&lt;/tr&gt;</v>
      </c>
      <c r="Q25" s="13">
        <f t="shared" si="7"/>
        <v>24</v>
      </c>
      <c r="R25" t="s">
        <v>143</v>
      </c>
    </row>
    <row r="26" spans="1:18" ht="18" x14ac:dyDescent="0.2">
      <c r="A26" s="8" t="str">
        <f t="shared" si="8"/>
        <v>06/25(金)</v>
      </c>
      <c r="B26" s="2">
        <v>1</v>
      </c>
      <c r="C26" s="2">
        <v>5</v>
      </c>
      <c r="D26" s="2" t="str">
        <f t="shared" si="9"/>
        <v>25日</v>
      </c>
      <c r="E26" s="2" t="str">
        <f t="shared" si="4"/>
        <v>25日(金)</v>
      </c>
      <c r="F26" s="2">
        <v>6</v>
      </c>
      <c r="G26" s="2">
        <v>1</v>
      </c>
      <c r="H26" s="2" t="s">
        <v>37</v>
      </c>
      <c r="I26" s="2" t="str">
        <f t="shared" si="10"/>
        <v>25日(金)&lt;/td&gt;&lt;td&gt;</v>
      </c>
      <c r="J26" s="2">
        <v>5</v>
      </c>
      <c r="K26" s="2">
        <v>1</v>
      </c>
      <c r="L26" s="2" t="s">
        <v>37</v>
      </c>
      <c r="M26" s="2" t="str">
        <f t="shared" si="6"/>
        <v>金</v>
      </c>
      <c r="O26" s="2" t="str">
        <f t="shared" si="11"/>
        <v>&lt;tr&gt;&lt;td&gt;25日(金)&lt;/td&gt;&lt;td&gt;</v>
      </c>
      <c r="P26" t="str">
        <f t="shared" si="12"/>
        <v>&lt;tr&gt;&lt;td&gt;25日(金)&lt;/td&gt;&lt;td&gt;&lt;/td&gt;&lt;/tr&gt;</v>
      </c>
      <c r="Q26" s="13">
        <f t="shared" si="7"/>
        <v>25</v>
      </c>
      <c r="R26" t="s">
        <v>144</v>
      </c>
    </row>
    <row r="27" spans="1:18" ht="18" x14ac:dyDescent="0.2">
      <c r="A27" s="8" t="str">
        <f t="shared" si="8"/>
        <v>06/26(土)</v>
      </c>
      <c r="B27" s="2">
        <v>1</v>
      </c>
      <c r="C27" s="2">
        <v>5</v>
      </c>
      <c r="D27" s="2" t="str">
        <f t="shared" si="9"/>
        <v>26日</v>
      </c>
      <c r="E27" s="2" t="str">
        <f t="shared" si="4"/>
        <v>26日(土)</v>
      </c>
      <c r="F27" s="2">
        <v>6</v>
      </c>
      <c r="G27" s="2">
        <v>1</v>
      </c>
      <c r="H27" s="2" t="s">
        <v>37</v>
      </c>
      <c r="I27" s="2" t="str">
        <f t="shared" si="10"/>
        <v>26日(土)&lt;/td&gt;&lt;td&gt;</v>
      </c>
      <c r="J27" s="2">
        <v>5</v>
      </c>
      <c r="K27" s="2">
        <v>1</v>
      </c>
      <c r="L27" s="2" t="s">
        <v>37</v>
      </c>
      <c r="M27" s="2" t="str">
        <f t="shared" si="6"/>
        <v>土</v>
      </c>
      <c r="O27" s="2" t="str">
        <f t="shared" si="11"/>
        <v>&lt;tr class='weekend'&gt;&lt;td&gt;26日(土)&lt;/td&gt;&lt;td&gt;</v>
      </c>
      <c r="P27" t="str">
        <f t="shared" si="12"/>
        <v>&lt;tr class='weekend'&gt;&lt;td&gt;26日(土)&lt;/td&gt;&lt;td&gt;&lt;/td&gt;&lt;/tr&gt;</v>
      </c>
      <c r="Q27" s="13">
        <f t="shared" si="7"/>
        <v>26</v>
      </c>
      <c r="R27" t="s">
        <v>145</v>
      </c>
    </row>
    <row r="28" spans="1:18" ht="18" x14ac:dyDescent="0.2">
      <c r="A28" s="8" t="str">
        <f t="shared" si="8"/>
        <v>06/27(日)</v>
      </c>
      <c r="B28" s="2">
        <v>1</v>
      </c>
      <c r="C28" s="2">
        <v>5</v>
      </c>
      <c r="D28" s="2" t="str">
        <f t="shared" si="9"/>
        <v>27日</v>
      </c>
      <c r="E28" s="2" t="str">
        <f t="shared" si="4"/>
        <v>27日(日)</v>
      </c>
      <c r="F28" s="2">
        <v>6</v>
      </c>
      <c r="G28" s="2">
        <v>1</v>
      </c>
      <c r="H28" s="2" t="s">
        <v>37</v>
      </c>
      <c r="I28" s="2" t="str">
        <f t="shared" si="10"/>
        <v>27日(日)&lt;/td&gt;&lt;td&gt;</v>
      </c>
      <c r="J28" s="2">
        <v>5</v>
      </c>
      <c r="K28" s="2">
        <v>1</v>
      </c>
      <c r="L28" s="2" t="s">
        <v>37</v>
      </c>
      <c r="M28" s="2" t="str">
        <f t="shared" si="6"/>
        <v>日</v>
      </c>
      <c r="O28" s="2" t="str">
        <f t="shared" si="11"/>
        <v>&lt;tr class='weekend'&gt;&lt;td&gt;27日(日)&lt;/td&gt;&lt;td&gt;</v>
      </c>
      <c r="P28" t="str">
        <f t="shared" si="12"/>
        <v>&lt;tr class='weekend'&gt;&lt;td&gt;27日(日)&lt;/td&gt;&lt;td&gt;&lt;span class='event_font'&gt;&amp;nbsp&amp;nbspセット料金半額DAY!&lt;/span&gt;&lt;/td&gt;&lt;/tr&gt;</v>
      </c>
      <c r="Q28" s="13">
        <f t="shared" si="7"/>
        <v>27</v>
      </c>
      <c r="R28" t="s">
        <v>146</v>
      </c>
    </row>
    <row r="29" spans="1:18" ht="18" x14ac:dyDescent="0.2">
      <c r="A29" s="8" t="str">
        <f t="shared" si="8"/>
        <v>06/28(月)</v>
      </c>
      <c r="B29" s="2">
        <v>1</v>
      </c>
      <c r="C29" s="2">
        <v>5</v>
      </c>
      <c r="D29" s="2" t="str">
        <f t="shared" si="9"/>
        <v>28日</v>
      </c>
      <c r="E29" s="2" t="str">
        <f t="shared" si="4"/>
        <v>28日(月)</v>
      </c>
      <c r="F29" s="2">
        <v>6</v>
      </c>
      <c r="G29" s="2">
        <v>1</v>
      </c>
      <c r="H29" s="2" t="s">
        <v>37</v>
      </c>
      <c r="I29" s="2" t="str">
        <f t="shared" si="10"/>
        <v>28日(月)&lt;/td&gt;&lt;td&gt;</v>
      </c>
      <c r="J29" s="2">
        <v>5</v>
      </c>
      <c r="K29" s="2">
        <v>1</v>
      </c>
      <c r="L29" s="2" t="s">
        <v>37</v>
      </c>
      <c r="M29" s="2" t="str">
        <f t="shared" si="6"/>
        <v>月</v>
      </c>
      <c r="O29" s="2" t="str">
        <f t="shared" si="11"/>
        <v>&lt;tr&gt;&lt;td&gt;28日(月)&lt;/td&gt;&lt;td&gt;</v>
      </c>
      <c r="P29" t="str">
        <f t="shared" si="12"/>
        <v>&lt;tr&gt;&lt;td&gt;28日(月)&lt;/td&gt;&lt;td&gt;&lt;/td&gt;&lt;/tr&gt;</v>
      </c>
      <c r="Q29" s="13">
        <f t="shared" si="7"/>
        <v>28</v>
      </c>
      <c r="R29" t="s">
        <v>107</v>
      </c>
    </row>
    <row r="30" spans="1:18" ht="18" x14ac:dyDescent="0.2">
      <c r="A30" s="8" t="str">
        <f t="shared" si="8"/>
        <v>06/29(火)</v>
      </c>
      <c r="B30" s="2">
        <v>1</v>
      </c>
      <c r="C30" s="2">
        <v>5</v>
      </c>
      <c r="D30" s="2" t="str">
        <f t="shared" si="9"/>
        <v>29日</v>
      </c>
      <c r="E30" s="2" t="str">
        <f t="shared" si="4"/>
        <v>29日(火)</v>
      </c>
      <c r="F30" s="2">
        <v>6</v>
      </c>
      <c r="G30" s="2">
        <v>1</v>
      </c>
      <c r="H30" s="2" t="s">
        <v>37</v>
      </c>
      <c r="I30" s="2" t="str">
        <f t="shared" si="10"/>
        <v>29日(火)&lt;/td&gt;&lt;td&gt;</v>
      </c>
      <c r="J30" s="2">
        <v>5</v>
      </c>
      <c r="K30" s="2">
        <v>1</v>
      </c>
      <c r="L30" s="2" t="s">
        <v>37</v>
      </c>
      <c r="M30" s="2" t="str">
        <f t="shared" si="6"/>
        <v>火</v>
      </c>
      <c r="O30" s="2" t="str">
        <f t="shared" si="11"/>
        <v>&lt;tr&gt;&lt;td&gt;29日(火)&lt;/td&gt;&lt;td&gt;</v>
      </c>
      <c r="P30" t="str">
        <f t="shared" si="12"/>
        <v>&lt;tr&gt;&lt;td&gt;29日(火)&lt;/td&gt;&lt;td&gt;&lt;/td&gt;&lt;/tr&gt;</v>
      </c>
      <c r="Q30" s="13">
        <f t="shared" si="7"/>
        <v>29</v>
      </c>
      <c r="R30" t="s">
        <v>141</v>
      </c>
    </row>
    <row r="31" spans="1:18" ht="18" x14ac:dyDescent="0.2">
      <c r="A31" s="8" t="str">
        <f t="shared" si="8"/>
        <v>06/30(水)</v>
      </c>
      <c r="B31" s="2">
        <v>1</v>
      </c>
      <c r="C31" s="2">
        <v>5</v>
      </c>
      <c r="D31" s="2" t="str">
        <f t="shared" si="9"/>
        <v>30日</v>
      </c>
      <c r="E31" s="2" t="str">
        <f t="shared" si="4"/>
        <v>30日(水)</v>
      </c>
      <c r="F31" s="2">
        <v>6</v>
      </c>
      <c r="G31" s="2">
        <v>1</v>
      </c>
      <c r="H31" s="2" t="s">
        <v>37</v>
      </c>
      <c r="I31" s="2" t="str">
        <f t="shared" si="10"/>
        <v>30日(水)&lt;/td&gt;&lt;td&gt;</v>
      </c>
      <c r="J31" s="2">
        <v>5</v>
      </c>
      <c r="K31" s="2">
        <v>1</v>
      </c>
      <c r="L31" s="2" t="s">
        <v>37</v>
      </c>
      <c r="M31" s="2" t="str">
        <f t="shared" si="6"/>
        <v>水</v>
      </c>
      <c r="O31" s="2" t="str">
        <f t="shared" si="11"/>
        <v>&lt;tr&gt;&lt;td&gt;30日(水)&lt;/td&gt;&lt;td&gt;</v>
      </c>
      <c r="P31" t="str">
        <f t="shared" si="12"/>
        <v>&lt;tr&gt;&lt;td&gt;30日(水)&lt;/td&gt;&lt;td&gt;&lt;/td&gt;&lt;/tr&gt;</v>
      </c>
      <c r="Q31" s="13">
        <f t="shared" si="7"/>
        <v>30</v>
      </c>
      <c r="R31" t="s">
        <v>142</v>
      </c>
    </row>
    <row r="32" spans="1:18" ht="18" x14ac:dyDescent="0.2">
      <c r="A32" s="8" t="str">
        <f t="shared" si="8"/>
        <v>06/31(木)</v>
      </c>
      <c r="B32" s="2">
        <v>1</v>
      </c>
      <c r="C32" s="2">
        <v>5</v>
      </c>
      <c r="D32" s="2" t="str">
        <f t="shared" si="9"/>
        <v>31日</v>
      </c>
      <c r="E32" s="2" t="str">
        <f t="shared" si="4"/>
        <v>31日(木)</v>
      </c>
      <c r="F32" s="2">
        <v>6</v>
      </c>
      <c r="G32" s="2">
        <v>1</v>
      </c>
      <c r="H32" s="2" t="s">
        <v>37</v>
      </c>
      <c r="I32" s="2" t="str">
        <f t="shared" si="10"/>
        <v>31日(木)&lt;/td&gt;&lt;td&gt;</v>
      </c>
      <c r="J32" s="2">
        <v>5</v>
      </c>
      <c r="K32" s="2">
        <v>1</v>
      </c>
      <c r="L32" s="2" t="s">
        <v>37</v>
      </c>
      <c r="M32" s="2" t="str">
        <f t="shared" si="6"/>
        <v>木</v>
      </c>
      <c r="O32" s="2" t="str">
        <f t="shared" si="11"/>
        <v>&lt;tr&gt;&lt;td&gt;31日(木)&lt;/td&gt;&lt;td&gt;</v>
      </c>
      <c r="P32" t="str">
        <f t="shared" si="12"/>
        <v>&lt;tr&gt;&lt;td&gt;31日(木)&lt;/td&gt;&lt;td&gt;&lt;/td&gt;&lt;/tr&gt;</v>
      </c>
      <c r="Q32" s="13">
        <f t="shared" si="7"/>
        <v>31</v>
      </c>
      <c r="R32" t="s">
        <v>143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A24-C246-4243-BD20-08FDDBDACF81}">
  <dimension ref="A1:E31"/>
  <sheetViews>
    <sheetView workbookViewId="0">
      <selection activeCell="J12" sqref="J12"/>
    </sheetView>
  </sheetViews>
  <sheetFormatPr defaultRowHeight="13.2" x14ac:dyDescent="0.2"/>
  <cols>
    <col min="4" max="4" width="8.88671875" style="11"/>
  </cols>
  <sheetData>
    <row r="1" spans="1:5" x14ac:dyDescent="0.2">
      <c r="A1" t="s">
        <v>150</v>
      </c>
      <c r="B1" t="s">
        <v>148</v>
      </c>
      <c r="C1" t="s">
        <v>149</v>
      </c>
      <c r="E1" t="str">
        <f>"&lt;tr class='weekend'&gt;&lt;td&gt;"&amp;A1&amp;"("&amp;B1&amp;")&lt;/td&gt;&lt;td&gt; - &lt;/td&gt;&lt;/tr&gt;"</f>
        <v>&lt;tr class='weekend'&gt;&lt;td&gt;1日(土)&lt;/td&gt;&lt;td&gt; - &lt;/td&gt;&lt;/tr&gt;</v>
      </c>
    </row>
    <row r="2" spans="1:5" x14ac:dyDescent="0.2">
      <c r="A2" t="s">
        <v>151</v>
      </c>
      <c r="B2" t="s">
        <v>146</v>
      </c>
      <c r="C2" t="s">
        <v>149</v>
      </c>
      <c r="E2" t="str">
        <f t="shared" ref="E2:E5" si="0">"&lt;tr class='weekend'&gt;&lt;td&gt;"&amp;A2&amp;"("&amp;B2&amp;")&lt;/td&gt;&lt;td&gt; - &lt;/td&gt;&lt;/tr&gt;"</f>
        <v>&lt;tr class='weekend'&gt;&lt;td&gt;2日(日)&lt;/td&gt;&lt;td&gt; - &lt;/td&gt;&lt;/tr&gt;</v>
      </c>
    </row>
    <row r="3" spans="1:5" x14ac:dyDescent="0.2">
      <c r="A3" t="s">
        <v>152</v>
      </c>
      <c r="B3" t="s">
        <v>107</v>
      </c>
      <c r="C3" t="s">
        <v>149</v>
      </c>
      <c r="E3" t="str">
        <f t="shared" si="0"/>
        <v>&lt;tr class='weekend'&gt;&lt;td&gt;3日(月)&lt;/td&gt;&lt;td&gt; - &lt;/td&gt;&lt;/tr&gt;</v>
      </c>
    </row>
    <row r="4" spans="1:5" x14ac:dyDescent="0.2">
      <c r="A4" t="s">
        <v>153</v>
      </c>
      <c r="B4" t="s">
        <v>141</v>
      </c>
      <c r="C4" t="s">
        <v>149</v>
      </c>
      <c r="E4" t="str">
        <f t="shared" si="0"/>
        <v>&lt;tr class='weekend'&gt;&lt;td&gt;4日(火)&lt;/td&gt;&lt;td&gt; - &lt;/td&gt;&lt;/tr&gt;</v>
      </c>
    </row>
    <row r="5" spans="1:5" x14ac:dyDescent="0.2">
      <c r="A5" t="s">
        <v>154</v>
      </c>
      <c r="B5" t="s">
        <v>142</v>
      </c>
      <c r="C5" t="s">
        <v>149</v>
      </c>
      <c r="E5" t="str">
        <f t="shared" si="0"/>
        <v>&lt;tr class='weekend'&gt;&lt;td&gt;5日(水)&lt;/td&gt;&lt;td&gt; - &lt;/td&gt;&lt;/tr&gt;</v>
      </c>
    </row>
    <row r="6" spans="1:5" x14ac:dyDescent="0.2">
      <c r="A6" t="s">
        <v>155</v>
      </c>
      <c r="B6" t="s">
        <v>143</v>
      </c>
      <c r="C6" t="s">
        <v>149</v>
      </c>
      <c r="E6" t="str">
        <f>"&lt;tr&gt;&lt;td&gt;"&amp;A6&amp;"("&amp;B6&amp;")&lt;/td&gt;&lt;td&gt; - &lt;/td&gt;&lt;/tr&gt;"</f>
        <v>&lt;tr&gt;&lt;td&gt;6日(木)&lt;/td&gt;&lt;td&gt; - &lt;/td&gt;&lt;/tr&gt;</v>
      </c>
    </row>
    <row r="7" spans="1:5" x14ac:dyDescent="0.2">
      <c r="A7" t="s">
        <v>156</v>
      </c>
      <c r="B7" t="s">
        <v>144</v>
      </c>
      <c r="C7" t="s">
        <v>149</v>
      </c>
      <c r="E7" t="str">
        <f>"&lt;tr&gt;&lt;td&gt;"&amp;A7&amp;"("&amp;B7&amp;")&lt;/td&gt;&lt;td&gt; - &lt;/td&gt;&lt;/tr&gt;"</f>
        <v>&lt;tr&gt;&lt;td&gt;7日(金)&lt;/td&gt;&lt;td&gt; - &lt;/td&gt;&lt;/tr&gt;</v>
      </c>
    </row>
    <row r="8" spans="1:5" x14ac:dyDescent="0.2">
      <c r="A8" t="s">
        <v>157</v>
      </c>
      <c r="B8" t="s">
        <v>145</v>
      </c>
      <c r="C8" t="s">
        <v>149</v>
      </c>
      <c r="E8" t="str">
        <f t="shared" ref="E8:E9" si="1">"&lt;tr class='weekend'&gt;&lt;td&gt;"&amp;A8&amp;"("&amp;B8&amp;")&lt;/td&gt;&lt;td&gt; - &lt;/td&gt;&lt;/tr&gt;"</f>
        <v>&lt;tr class='weekend'&gt;&lt;td&gt;8日(土)&lt;/td&gt;&lt;td&gt; - &lt;/td&gt;&lt;/tr&gt;</v>
      </c>
    </row>
    <row r="9" spans="1:5" x14ac:dyDescent="0.2">
      <c r="A9" t="s">
        <v>158</v>
      </c>
      <c r="B9" t="s">
        <v>146</v>
      </c>
      <c r="C9" t="s">
        <v>149</v>
      </c>
      <c r="E9" t="str">
        <f t="shared" si="1"/>
        <v>&lt;tr class='weekend'&gt;&lt;td&gt;9日(日)&lt;/td&gt;&lt;td&gt; - &lt;/td&gt;&lt;/tr&gt;</v>
      </c>
    </row>
    <row r="10" spans="1:5" x14ac:dyDescent="0.2">
      <c r="A10" t="s">
        <v>159</v>
      </c>
      <c r="B10" t="s">
        <v>107</v>
      </c>
      <c r="C10" t="s">
        <v>149</v>
      </c>
      <c r="E10" t="str">
        <f t="shared" ref="E10:E14" si="2">"&lt;tr&gt;&lt;td&gt;"&amp;A10&amp;"("&amp;B10&amp;")&lt;/td&gt;&lt;td&gt; - &lt;/td&gt;&lt;/tr&gt;"</f>
        <v>&lt;tr&gt;&lt;td&gt;10日(月)&lt;/td&gt;&lt;td&gt; - &lt;/td&gt;&lt;/tr&gt;</v>
      </c>
    </row>
    <row r="11" spans="1:5" x14ac:dyDescent="0.2">
      <c r="A11" t="s">
        <v>160</v>
      </c>
      <c r="B11" t="s">
        <v>141</v>
      </c>
      <c r="C11" t="s">
        <v>149</v>
      </c>
      <c r="E11" t="str">
        <f t="shared" si="2"/>
        <v>&lt;tr&gt;&lt;td&gt;11日(火)&lt;/td&gt;&lt;td&gt; - &lt;/td&gt;&lt;/tr&gt;</v>
      </c>
    </row>
    <row r="12" spans="1:5" x14ac:dyDescent="0.2">
      <c r="A12" t="s">
        <v>161</v>
      </c>
      <c r="B12" t="s">
        <v>142</v>
      </c>
      <c r="C12" t="s">
        <v>149</v>
      </c>
      <c r="E12" t="str">
        <f t="shared" si="2"/>
        <v>&lt;tr&gt;&lt;td&gt;12日(水)&lt;/td&gt;&lt;td&gt; - &lt;/td&gt;&lt;/tr&gt;</v>
      </c>
    </row>
    <row r="13" spans="1:5" x14ac:dyDescent="0.2">
      <c r="A13" t="s">
        <v>162</v>
      </c>
      <c r="B13" t="s">
        <v>143</v>
      </c>
      <c r="C13" t="s">
        <v>149</v>
      </c>
      <c r="E13" t="str">
        <f t="shared" si="2"/>
        <v>&lt;tr&gt;&lt;td&gt;13日(木)&lt;/td&gt;&lt;td&gt; - &lt;/td&gt;&lt;/tr&gt;</v>
      </c>
    </row>
    <row r="14" spans="1:5" x14ac:dyDescent="0.2">
      <c r="A14" t="s">
        <v>163</v>
      </c>
      <c r="B14" t="s">
        <v>144</v>
      </c>
      <c r="C14" t="s">
        <v>149</v>
      </c>
      <c r="E14" t="str">
        <f t="shared" si="2"/>
        <v>&lt;tr&gt;&lt;td&gt;14日(金)&lt;/td&gt;&lt;td&gt; - &lt;/td&gt;&lt;/tr&gt;</v>
      </c>
    </row>
    <row r="15" spans="1:5" x14ac:dyDescent="0.2">
      <c r="A15" t="s">
        <v>164</v>
      </c>
      <c r="B15" t="s">
        <v>145</v>
      </c>
      <c r="C15" t="s">
        <v>149</v>
      </c>
      <c r="E15" t="str">
        <f t="shared" ref="E15:E16" si="3">"&lt;tr class='weekend'&gt;&lt;td&gt;"&amp;A15&amp;"("&amp;B15&amp;")&lt;/td&gt;&lt;td&gt; - &lt;/td&gt;&lt;/tr&gt;"</f>
        <v>&lt;tr class='weekend'&gt;&lt;td&gt;15日(土)&lt;/td&gt;&lt;td&gt; - &lt;/td&gt;&lt;/tr&gt;</v>
      </c>
    </row>
    <row r="16" spans="1:5" x14ac:dyDescent="0.2">
      <c r="A16" t="s">
        <v>165</v>
      </c>
      <c r="B16" t="s">
        <v>146</v>
      </c>
      <c r="C16" t="s">
        <v>149</v>
      </c>
      <c r="E16" t="str">
        <f t="shared" si="3"/>
        <v>&lt;tr class='weekend'&gt;&lt;td&gt;16日(日)&lt;/td&gt;&lt;td&gt; - &lt;/td&gt;&lt;/tr&gt;</v>
      </c>
    </row>
    <row r="17" spans="1:5" x14ac:dyDescent="0.2">
      <c r="A17" t="s">
        <v>166</v>
      </c>
      <c r="B17" t="s">
        <v>107</v>
      </c>
      <c r="C17" t="s">
        <v>149</v>
      </c>
      <c r="E17" t="str">
        <f t="shared" ref="E17:E21" si="4">"&lt;tr&gt;&lt;td&gt;"&amp;A17&amp;"("&amp;B17&amp;")&lt;/td&gt;&lt;td&gt; - &lt;/td&gt;&lt;/tr&gt;"</f>
        <v>&lt;tr&gt;&lt;td&gt;17日(月)&lt;/td&gt;&lt;td&gt; - &lt;/td&gt;&lt;/tr&gt;</v>
      </c>
    </row>
    <row r="18" spans="1:5" x14ac:dyDescent="0.2">
      <c r="A18" t="s">
        <v>167</v>
      </c>
      <c r="B18" t="s">
        <v>141</v>
      </c>
      <c r="C18" t="s">
        <v>149</v>
      </c>
      <c r="E18" t="str">
        <f t="shared" si="4"/>
        <v>&lt;tr&gt;&lt;td&gt;18日(火)&lt;/td&gt;&lt;td&gt; - &lt;/td&gt;&lt;/tr&gt;</v>
      </c>
    </row>
    <row r="19" spans="1:5" x14ac:dyDescent="0.2">
      <c r="A19" t="s">
        <v>168</v>
      </c>
      <c r="B19" t="s">
        <v>142</v>
      </c>
      <c r="C19" t="s">
        <v>149</v>
      </c>
      <c r="E19" t="str">
        <f t="shared" si="4"/>
        <v>&lt;tr&gt;&lt;td&gt;19日(水)&lt;/td&gt;&lt;td&gt; - &lt;/td&gt;&lt;/tr&gt;</v>
      </c>
    </row>
    <row r="20" spans="1:5" x14ac:dyDescent="0.2">
      <c r="A20" t="s">
        <v>169</v>
      </c>
      <c r="B20" t="s">
        <v>143</v>
      </c>
      <c r="C20" t="s">
        <v>149</v>
      </c>
      <c r="E20" t="str">
        <f t="shared" si="4"/>
        <v>&lt;tr&gt;&lt;td&gt;20日(木)&lt;/td&gt;&lt;td&gt; - &lt;/td&gt;&lt;/tr&gt;</v>
      </c>
    </row>
    <row r="21" spans="1:5" x14ac:dyDescent="0.2">
      <c r="A21" t="s">
        <v>170</v>
      </c>
      <c r="B21" t="s">
        <v>144</v>
      </c>
      <c r="C21" t="s">
        <v>149</v>
      </c>
      <c r="E21" t="str">
        <f t="shared" si="4"/>
        <v>&lt;tr&gt;&lt;td&gt;21日(金)&lt;/td&gt;&lt;td&gt; - &lt;/td&gt;&lt;/tr&gt;</v>
      </c>
    </row>
    <row r="22" spans="1:5" x14ac:dyDescent="0.2">
      <c r="A22" t="s">
        <v>171</v>
      </c>
      <c r="B22" t="s">
        <v>145</v>
      </c>
      <c r="C22" t="s">
        <v>149</v>
      </c>
      <c r="E22" t="str">
        <f t="shared" ref="E22:E23" si="5">"&lt;tr class='weekend'&gt;&lt;td&gt;"&amp;A22&amp;"("&amp;B22&amp;")&lt;/td&gt;&lt;td&gt; - &lt;/td&gt;&lt;/tr&gt;"</f>
        <v>&lt;tr class='weekend'&gt;&lt;td&gt;22日(土)&lt;/td&gt;&lt;td&gt; - &lt;/td&gt;&lt;/tr&gt;</v>
      </c>
    </row>
    <row r="23" spans="1:5" x14ac:dyDescent="0.2">
      <c r="A23" t="s">
        <v>172</v>
      </c>
      <c r="B23" t="s">
        <v>146</v>
      </c>
      <c r="C23" t="s">
        <v>149</v>
      </c>
      <c r="E23" t="str">
        <f t="shared" si="5"/>
        <v>&lt;tr class='weekend'&gt;&lt;td&gt;23日(日)&lt;/td&gt;&lt;td&gt; - &lt;/td&gt;&lt;/tr&gt;</v>
      </c>
    </row>
    <row r="24" spans="1:5" x14ac:dyDescent="0.2">
      <c r="A24" t="s">
        <v>173</v>
      </c>
      <c r="B24" t="s">
        <v>107</v>
      </c>
      <c r="C24" t="s">
        <v>149</v>
      </c>
      <c r="E24" t="str">
        <f t="shared" ref="E24:E28" si="6">"&lt;tr&gt;&lt;td&gt;"&amp;A24&amp;"("&amp;B24&amp;")&lt;/td&gt;&lt;td&gt; - &lt;/td&gt;&lt;/tr&gt;"</f>
        <v>&lt;tr&gt;&lt;td&gt;24日(月)&lt;/td&gt;&lt;td&gt; - &lt;/td&gt;&lt;/tr&gt;</v>
      </c>
    </row>
    <row r="25" spans="1:5" x14ac:dyDescent="0.2">
      <c r="A25" t="s">
        <v>174</v>
      </c>
      <c r="B25" t="s">
        <v>141</v>
      </c>
      <c r="C25" t="s">
        <v>149</v>
      </c>
      <c r="E25" t="str">
        <f t="shared" si="6"/>
        <v>&lt;tr&gt;&lt;td&gt;25日(火)&lt;/td&gt;&lt;td&gt; - &lt;/td&gt;&lt;/tr&gt;</v>
      </c>
    </row>
    <row r="26" spans="1:5" x14ac:dyDescent="0.2">
      <c r="A26" t="s">
        <v>175</v>
      </c>
      <c r="B26" t="s">
        <v>142</v>
      </c>
      <c r="C26" t="s">
        <v>149</v>
      </c>
      <c r="E26" t="str">
        <f t="shared" si="6"/>
        <v>&lt;tr&gt;&lt;td&gt;26日(水)&lt;/td&gt;&lt;td&gt; - &lt;/td&gt;&lt;/tr&gt;</v>
      </c>
    </row>
    <row r="27" spans="1:5" x14ac:dyDescent="0.2">
      <c r="A27" t="s">
        <v>176</v>
      </c>
      <c r="B27" t="s">
        <v>143</v>
      </c>
      <c r="C27" t="s">
        <v>149</v>
      </c>
      <c r="E27" t="str">
        <f t="shared" si="6"/>
        <v>&lt;tr&gt;&lt;td&gt;27日(木)&lt;/td&gt;&lt;td&gt; - &lt;/td&gt;&lt;/tr&gt;</v>
      </c>
    </row>
    <row r="28" spans="1:5" x14ac:dyDescent="0.2">
      <c r="A28" t="s">
        <v>177</v>
      </c>
      <c r="B28" t="s">
        <v>144</v>
      </c>
      <c r="C28" t="s">
        <v>149</v>
      </c>
      <c r="E28" t="str">
        <f t="shared" si="6"/>
        <v>&lt;tr&gt;&lt;td&gt;28日(金)&lt;/td&gt;&lt;td&gt; - &lt;/td&gt;&lt;/tr&gt;</v>
      </c>
    </row>
    <row r="29" spans="1:5" x14ac:dyDescent="0.2">
      <c r="A29" t="s">
        <v>178</v>
      </c>
      <c r="B29" t="s">
        <v>145</v>
      </c>
      <c r="C29" t="s">
        <v>149</v>
      </c>
      <c r="E29" t="str">
        <f t="shared" ref="E29:E30" si="7">"&lt;tr class='weekend'&gt;&lt;td&gt;"&amp;A29&amp;"("&amp;B29&amp;")&lt;/td&gt;&lt;td&gt; - &lt;/td&gt;&lt;/tr&gt;"</f>
        <v>&lt;tr class='weekend'&gt;&lt;td&gt;29日(土)&lt;/td&gt;&lt;td&gt; - &lt;/td&gt;&lt;/tr&gt;</v>
      </c>
    </row>
    <row r="30" spans="1:5" x14ac:dyDescent="0.2">
      <c r="A30" t="s">
        <v>179</v>
      </c>
      <c r="B30" t="s">
        <v>146</v>
      </c>
      <c r="C30" t="s">
        <v>149</v>
      </c>
      <c r="E30" t="str">
        <f t="shared" si="7"/>
        <v>&lt;tr class='weekend'&gt;&lt;td&gt;30日(日)&lt;/td&gt;&lt;td&gt; - &lt;/td&gt;&lt;/tr&gt;</v>
      </c>
    </row>
    <row r="31" spans="1:5" x14ac:dyDescent="0.2">
      <c r="A31" t="s">
        <v>180</v>
      </c>
      <c r="B31" t="s">
        <v>107</v>
      </c>
      <c r="C31" t="s">
        <v>149</v>
      </c>
      <c r="E31" t="str">
        <f>"&lt;tr&gt;&lt;td&gt;"&amp;A31&amp;"("&amp;B31&amp;")&lt;/td&gt;&lt;td&gt; - &lt;/td&gt;&lt;/tr&gt;"</f>
        <v>&lt;tr&gt;&lt;td&gt;31日(月)&lt;/td&gt;&lt;td&gt; - &lt;/td&gt;&lt;/tr&gt;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6069F-EFE3-4A4C-BAA1-9B589D0ACD36}">
  <dimension ref="A2:I29"/>
  <sheetViews>
    <sheetView workbookViewId="0">
      <selection activeCell="I2" sqref="I2:I29"/>
    </sheetView>
  </sheetViews>
  <sheetFormatPr defaultRowHeight="13.2" x14ac:dyDescent="0.2"/>
  <cols>
    <col min="1" max="1" width="3.88671875" style="10" bestFit="1" customWidth="1"/>
    <col min="2" max="2" width="2.77734375" style="10" bestFit="1" customWidth="1"/>
    <col min="3" max="3" width="3.88671875" style="10" bestFit="1" customWidth="1"/>
    <col min="4" max="4" width="2.33203125" style="10" bestFit="1" customWidth="1"/>
    <col min="5" max="5" width="3.77734375" bestFit="1" customWidth="1"/>
    <col min="6" max="6" width="2.33203125" bestFit="1" customWidth="1"/>
    <col min="7" max="7" width="10" bestFit="1" customWidth="1"/>
    <col min="8" max="8" width="3" customWidth="1"/>
  </cols>
  <sheetData>
    <row r="2" spans="1:9" x14ac:dyDescent="0.2">
      <c r="A2" s="10" t="s">
        <v>110</v>
      </c>
      <c r="B2" s="10" t="s">
        <v>138</v>
      </c>
      <c r="C2" s="10" t="s">
        <v>130</v>
      </c>
      <c r="D2" s="10" t="s">
        <v>139</v>
      </c>
      <c r="E2" t="s">
        <v>108</v>
      </c>
      <c r="F2" s="10" t="s">
        <v>140</v>
      </c>
      <c r="G2" t="s">
        <v>147</v>
      </c>
      <c r="I2" t="str">
        <f>CONCATENATE(A2,B2,C2,D2,E2,F2,G2)</f>
        <v>02/01(月) 臨時休業</v>
      </c>
    </row>
    <row r="3" spans="1:9" x14ac:dyDescent="0.2">
      <c r="A3" s="10" t="s">
        <v>110</v>
      </c>
      <c r="B3" s="10" t="s">
        <v>138</v>
      </c>
      <c r="C3" s="10" t="s">
        <v>109</v>
      </c>
      <c r="D3" s="10" t="s">
        <v>139</v>
      </c>
      <c r="E3" t="s">
        <v>141</v>
      </c>
      <c r="F3" s="10" t="s">
        <v>140</v>
      </c>
      <c r="G3" t="s">
        <v>147</v>
      </c>
      <c r="I3" t="str">
        <f t="shared" ref="I3:I29" si="0">CONCATENATE(A3,B3,C3,D3,E3,F3,G3)</f>
        <v>02/02(火) 臨時休業</v>
      </c>
    </row>
    <row r="4" spans="1:9" x14ac:dyDescent="0.2">
      <c r="A4" s="10" t="s">
        <v>110</v>
      </c>
      <c r="B4" s="10" t="s">
        <v>138</v>
      </c>
      <c r="C4" s="10" t="s">
        <v>131</v>
      </c>
      <c r="D4" s="10" t="s">
        <v>139</v>
      </c>
      <c r="E4" t="s">
        <v>142</v>
      </c>
      <c r="F4" s="10" t="s">
        <v>140</v>
      </c>
      <c r="G4" t="s">
        <v>147</v>
      </c>
      <c r="I4" t="str">
        <f t="shared" si="0"/>
        <v>02/03(水) 臨時休業</v>
      </c>
    </row>
    <row r="5" spans="1:9" x14ac:dyDescent="0.2">
      <c r="A5" s="10" t="s">
        <v>110</v>
      </c>
      <c r="B5" s="10" t="s">
        <v>138</v>
      </c>
      <c r="C5" s="10" t="s">
        <v>132</v>
      </c>
      <c r="D5" s="10" t="s">
        <v>139</v>
      </c>
      <c r="E5" t="s">
        <v>143</v>
      </c>
      <c r="F5" s="10" t="s">
        <v>140</v>
      </c>
      <c r="G5" t="s">
        <v>147</v>
      </c>
      <c r="I5" t="str">
        <f t="shared" si="0"/>
        <v>02/04(木) 臨時休業</v>
      </c>
    </row>
    <row r="6" spans="1:9" x14ac:dyDescent="0.2">
      <c r="A6" s="10" t="s">
        <v>110</v>
      </c>
      <c r="B6" s="10" t="s">
        <v>138</v>
      </c>
      <c r="C6" s="10" t="s">
        <v>133</v>
      </c>
      <c r="D6" s="10" t="s">
        <v>139</v>
      </c>
      <c r="E6" t="s">
        <v>144</v>
      </c>
      <c r="F6" s="10" t="s">
        <v>140</v>
      </c>
      <c r="G6" t="s">
        <v>147</v>
      </c>
      <c r="I6" t="str">
        <f t="shared" si="0"/>
        <v>02/05(金) 臨時休業</v>
      </c>
    </row>
    <row r="7" spans="1:9" x14ac:dyDescent="0.2">
      <c r="A7" s="10" t="s">
        <v>110</v>
      </c>
      <c r="B7" s="10" t="s">
        <v>138</v>
      </c>
      <c r="C7" s="10" t="s">
        <v>134</v>
      </c>
      <c r="D7" s="10" t="s">
        <v>139</v>
      </c>
      <c r="E7" t="s">
        <v>145</v>
      </c>
      <c r="F7" s="10" t="s">
        <v>140</v>
      </c>
      <c r="G7" t="s">
        <v>147</v>
      </c>
      <c r="I7" t="str">
        <f t="shared" si="0"/>
        <v>02/06(土) 臨時休業</v>
      </c>
    </row>
    <row r="8" spans="1:9" x14ac:dyDescent="0.2">
      <c r="A8" s="10" t="s">
        <v>110</v>
      </c>
      <c r="B8" s="10" t="s">
        <v>138</v>
      </c>
      <c r="C8" s="10" t="s">
        <v>135</v>
      </c>
      <c r="D8" s="10" t="s">
        <v>139</v>
      </c>
      <c r="E8" t="s">
        <v>146</v>
      </c>
      <c r="F8" s="10" t="s">
        <v>140</v>
      </c>
      <c r="G8" t="s">
        <v>147</v>
      </c>
      <c r="I8" t="str">
        <f t="shared" si="0"/>
        <v>02/07(日) 臨時休業</v>
      </c>
    </row>
    <row r="9" spans="1:9" x14ac:dyDescent="0.2">
      <c r="A9" s="10" t="s">
        <v>110</v>
      </c>
      <c r="B9" s="10" t="s">
        <v>138</v>
      </c>
      <c r="C9" s="10" t="s">
        <v>136</v>
      </c>
      <c r="D9" s="10" t="s">
        <v>139</v>
      </c>
      <c r="E9" t="s">
        <v>107</v>
      </c>
      <c r="F9" s="10" t="s">
        <v>140</v>
      </c>
      <c r="G9" t="s">
        <v>147</v>
      </c>
      <c r="I9" t="str">
        <f t="shared" si="0"/>
        <v>02/08(月) 臨時休業</v>
      </c>
    </row>
    <row r="10" spans="1:9" x14ac:dyDescent="0.2">
      <c r="A10" s="10" t="s">
        <v>110</v>
      </c>
      <c r="B10" s="10" t="s">
        <v>138</v>
      </c>
      <c r="C10" s="10" t="s">
        <v>137</v>
      </c>
      <c r="D10" s="10" t="s">
        <v>139</v>
      </c>
      <c r="E10" t="s">
        <v>141</v>
      </c>
      <c r="F10" s="10" t="s">
        <v>140</v>
      </c>
      <c r="G10" t="s">
        <v>147</v>
      </c>
      <c r="I10" t="str">
        <f t="shared" si="0"/>
        <v>02/09(火) 臨時休業</v>
      </c>
    </row>
    <row r="11" spans="1:9" x14ac:dyDescent="0.2">
      <c r="A11" s="10" t="s">
        <v>110</v>
      </c>
      <c r="B11" s="10" t="s">
        <v>138</v>
      </c>
      <c r="C11" s="10" t="s">
        <v>111</v>
      </c>
      <c r="D11" s="10" t="s">
        <v>139</v>
      </c>
      <c r="E11" t="s">
        <v>142</v>
      </c>
      <c r="F11" s="10" t="s">
        <v>140</v>
      </c>
      <c r="G11" t="s">
        <v>147</v>
      </c>
      <c r="I11" t="str">
        <f t="shared" si="0"/>
        <v>02/10(水) 臨時休業</v>
      </c>
    </row>
    <row r="12" spans="1:9" x14ac:dyDescent="0.2">
      <c r="A12" s="10" t="s">
        <v>110</v>
      </c>
      <c r="B12" s="10" t="s">
        <v>138</v>
      </c>
      <c r="C12" s="10" t="s">
        <v>112</v>
      </c>
      <c r="D12" s="10" t="s">
        <v>139</v>
      </c>
      <c r="E12" t="s">
        <v>143</v>
      </c>
      <c r="F12" s="10" t="s">
        <v>140</v>
      </c>
      <c r="G12" t="s">
        <v>147</v>
      </c>
      <c r="I12" t="str">
        <f t="shared" si="0"/>
        <v>02/11(木) 臨時休業</v>
      </c>
    </row>
    <row r="13" spans="1:9" x14ac:dyDescent="0.2">
      <c r="A13" s="10" t="s">
        <v>110</v>
      </c>
      <c r="B13" s="10" t="s">
        <v>138</v>
      </c>
      <c r="C13" s="10" t="s">
        <v>113</v>
      </c>
      <c r="D13" s="10" t="s">
        <v>139</v>
      </c>
      <c r="E13" t="s">
        <v>144</v>
      </c>
      <c r="F13" s="10" t="s">
        <v>140</v>
      </c>
      <c r="G13" t="s">
        <v>147</v>
      </c>
      <c r="I13" t="str">
        <f t="shared" si="0"/>
        <v>02/12(金) 臨時休業</v>
      </c>
    </row>
    <row r="14" spans="1:9" x14ac:dyDescent="0.2">
      <c r="A14" s="10" t="s">
        <v>110</v>
      </c>
      <c r="B14" s="10" t="s">
        <v>138</v>
      </c>
      <c r="C14" s="10" t="s">
        <v>114</v>
      </c>
      <c r="D14" s="10" t="s">
        <v>139</v>
      </c>
      <c r="E14" t="s">
        <v>145</v>
      </c>
      <c r="F14" s="10" t="s">
        <v>140</v>
      </c>
      <c r="G14" t="s">
        <v>147</v>
      </c>
      <c r="I14" t="str">
        <f t="shared" si="0"/>
        <v>02/13(土) 臨時休業</v>
      </c>
    </row>
    <row r="15" spans="1:9" x14ac:dyDescent="0.2">
      <c r="A15" s="10" t="s">
        <v>110</v>
      </c>
      <c r="B15" s="10" t="s">
        <v>138</v>
      </c>
      <c r="C15" s="10" t="s">
        <v>115</v>
      </c>
      <c r="D15" s="10" t="s">
        <v>139</v>
      </c>
      <c r="E15" t="s">
        <v>146</v>
      </c>
      <c r="F15" s="10" t="s">
        <v>140</v>
      </c>
      <c r="G15" t="s">
        <v>147</v>
      </c>
      <c r="I15" t="str">
        <f t="shared" si="0"/>
        <v>02/14(日) 臨時休業</v>
      </c>
    </row>
    <row r="16" spans="1:9" x14ac:dyDescent="0.2">
      <c r="A16" s="10" t="s">
        <v>110</v>
      </c>
      <c r="B16" s="10" t="s">
        <v>138</v>
      </c>
      <c r="C16" s="10" t="s">
        <v>116</v>
      </c>
      <c r="D16" s="10" t="s">
        <v>139</v>
      </c>
      <c r="E16" t="s">
        <v>107</v>
      </c>
      <c r="F16" s="10" t="s">
        <v>140</v>
      </c>
      <c r="G16" t="s">
        <v>147</v>
      </c>
      <c r="I16" t="str">
        <f t="shared" si="0"/>
        <v>02/15(月) 臨時休業</v>
      </c>
    </row>
    <row r="17" spans="1:9" x14ac:dyDescent="0.2">
      <c r="A17" s="10" t="s">
        <v>110</v>
      </c>
      <c r="B17" s="10" t="s">
        <v>138</v>
      </c>
      <c r="C17" s="10" t="s">
        <v>117</v>
      </c>
      <c r="D17" s="10" t="s">
        <v>139</v>
      </c>
      <c r="E17" t="s">
        <v>141</v>
      </c>
      <c r="F17" s="10" t="s">
        <v>140</v>
      </c>
      <c r="G17" t="s">
        <v>147</v>
      </c>
      <c r="I17" t="str">
        <f t="shared" si="0"/>
        <v>02/16(火) 臨時休業</v>
      </c>
    </row>
    <row r="18" spans="1:9" x14ac:dyDescent="0.2">
      <c r="A18" s="10" t="s">
        <v>110</v>
      </c>
      <c r="B18" s="10" t="s">
        <v>138</v>
      </c>
      <c r="C18" s="10" t="s">
        <v>118</v>
      </c>
      <c r="D18" s="10" t="s">
        <v>139</v>
      </c>
      <c r="E18" t="s">
        <v>142</v>
      </c>
      <c r="F18" s="10" t="s">
        <v>140</v>
      </c>
      <c r="G18" t="s">
        <v>147</v>
      </c>
      <c r="I18" t="str">
        <f t="shared" si="0"/>
        <v>02/17(水) 臨時休業</v>
      </c>
    </row>
    <row r="19" spans="1:9" x14ac:dyDescent="0.2">
      <c r="A19" s="10" t="s">
        <v>110</v>
      </c>
      <c r="B19" s="10" t="s">
        <v>138</v>
      </c>
      <c r="C19" s="10" t="s">
        <v>119</v>
      </c>
      <c r="D19" s="10" t="s">
        <v>139</v>
      </c>
      <c r="E19" t="s">
        <v>143</v>
      </c>
      <c r="F19" s="10" t="s">
        <v>140</v>
      </c>
      <c r="G19" t="s">
        <v>147</v>
      </c>
      <c r="I19" t="str">
        <f t="shared" si="0"/>
        <v>02/18(木) 臨時休業</v>
      </c>
    </row>
    <row r="20" spans="1:9" x14ac:dyDescent="0.2">
      <c r="A20" s="10" t="s">
        <v>110</v>
      </c>
      <c r="B20" s="10" t="s">
        <v>138</v>
      </c>
      <c r="C20" s="10" t="s">
        <v>120</v>
      </c>
      <c r="D20" s="10" t="s">
        <v>139</v>
      </c>
      <c r="E20" t="s">
        <v>144</v>
      </c>
      <c r="F20" s="10" t="s">
        <v>140</v>
      </c>
      <c r="G20" t="s">
        <v>147</v>
      </c>
      <c r="I20" t="str">
        <f t="shared" si="0"/>
        <v>02/19(金) 臨時休業</v>
      </c>
    </row>
    <row r="21" spans="1:9" x14ac:dyDescent="0.2">
      <c r="A21" s="10" t="s">
        <v>110</v>
      </c>
      <c r="B21" s="10" t="s">
        <v>138</v>
      </c>
      <c r="C21" s="10" t="s">
        <v>121</v>
      </c>
      <c r="D21" s="10" t="s">
        <v>139</v>
      </c>
      <c r="E21" t="s">
        <v>145</v>
      </c>
      <c r="F21" s="10" t="s">
        <v>140</v>
      </c>
      <c r="G21" t="s">
        <v>147</v>
      </c>
      <c r="I21" t="str">
        <f t="shared" si="0"/>
        <v>02/20(土) 臨時休業</v>
      </c>
    </row>
    <row r="22" spans="1:9" x14ac:dyDescent="0.2">
      <c r="A22" s="10" t="s">
        <v>110</v>
      </c>
      <c r="B22" s="10" t="s">
        <v>138</v>
      </c>
      <c r="C22" s="10" t="s">
        <v>122</v>
      </c>
      <c r="D22" s="10" t="s">
        <v>139</v>
      </c>
      <c r="E22" t="s">
        <v>146</v>
      </c>
      <c r="F22" s="10" t="s">
        <v>140</v>
      </c>
      <c r="G22" t="s">
        <v>147</v>
      </c>
      <c r="I22" t="str">
        <f t="shared" si="0"/>
        <v>02/21(日) 臨時休業</v>
      </c>
    </row>
    <row r="23" spans="1:9" x14ac:dyDescent="0.2">
      <c r="A23" s="10" t="s">
        <v>110</v>
      </c>
      <c r="B23" s="10" t="s">
        <v>138</v>
      </c>
      <c r="C23" s="10" t="s">
        <v>123</v>
      </c>
      <c r="D23" s="10" t="s">
        <v>139</v>
      </c>
      <c r="E23" t="s">
        <v>107</v>
      </c>
      <c r="F23" s="10" t="s">
        <v>140</v>
      </c>
      <c r="G23" t="s">
        <v>147</v>
      </c>
      <c r="I23" t="str">
        <f t="shared" si="0"/>
        <v>02/22(月) 臨時休業</v>
      </c>
    </row>
    <row r="24" spans="1:9" x14ac:dyDescent="0.2">
      <c r="A24" s="10" t="s">
        <v>110</v>
      </c>
      <c r="B24" s="10" t="s">
        <v>138</v>
      </c>
      <c r="C24" s="10" t="s">
        <v>124</v>
      </c>
      <c r="D24" s="10" t="s">
        <v>139</v>
      </c>
      <c r="E24" t="s">
        <v>141</v>
      </c>
      <c r="F24" s="10" t="s">
        <v>140</v>
      </c>
      <c r="G24" t="s">
        <v>147</v>
      </c>
      <c r="I24" t="str">
        <f t="shared" si="0"/>
        <v>02/23(火) 臨時休業</v>
      </c>
    </row>
    <row r="25" spans="1:9" x14ac:dyDescent="0.2">
      <c r="A25" s="10" t="s">
        <v>110</v>
      </c>
      <c r="B25" s="10" t="s">
        <v>138</v>
      </c>
      <c r="C25" s="10" t="s">
        <v>125</v>
      </c>
      <c r="D25" s="10" t="s">
        <v>139</v>
      </c>
      <c r="E25" t="s">
        <v>142</v>
      </c>
      <c r="F25" s="10" t="s">
        <v>140</v>
      </c>
      <c r="G25" t="s">
        <v>147</v>
      </c>
      <c r="I25" t="str">
        <f t="shared" si="0"/>
        <v>02/24(水) 臨時休業</v>
      </c>
    </row>
    <row r="26" spans="1:9" x14ac:dyDescent="0.2">
      <c r="A26" s="10" t="s">
        <v>110</v>
      </c>
      <c r="B26" s="10" t="s">
        <v>138</v>
      </c>
      <c r="C26" s="10" t="s">
        <v>126</v>
      </c>
      <c r="D26" s="10" t="s">
        <v>139</v>
      </c>
      <c r="E26" t="s">
        <v>143</v>
      </c>
      <c r="F26" s="10" t="s">
        <v>140</v>
      </c>
      <c r="G26" t="s">
        <v>147</v>
      </c>
      <c r="I26" t="str">
        <f t="shared" si="0"/>
        <v>02/25(木) 臨時休業</v>
      </c>
    </row>
    <row r="27" spans="1:9" x14ac:dyDescent="0.2">
      <c r="A27" s="10" t="s">
        <v>110</v>
      </c>
      <c r="B27" s="10" t="s">
        <v>138</v>
      </c>
      <c r="C27" s="10" t="s">
        <v>127</v>
      </c>
      <c r="D27" s="10" t="s">
        <v>139</v>
      </c>
      <c r="E27" t="s">
        <v>144</v>
      </c>
      <c r="F27" s="10" t="s">
        <v>140</v>
      </c>
      <c r="G27" t="s">
        <v>147</v>
      </c>
      <c r="I27" t="str">
        <f t="shared" si="0"/>
        <v>02/26(金) 臨時休業</v>
      </c>
    </row>
    <row r="28" spans="1:9" x14ac:dyDescent="0.2">
      <c r="A28" s="10" t="s">
        <v>110</v>
      </c>
      <c r="B28" s="10" t="s">
        <v>138</v>
      </c>
      <c r="C28" s="10" t="s">
        <v>128</v>
      </c>
      <c r="D28" s="10" t="s">
        <v>139</v>
      </c>
      <c r="E28" t="s">
        <v>145</v>
      </c>
      <c r="F28" s="10" t="s">
        <v>140</v>
      </c>
      <c r="G28" t="s">
        <v>147</v>
      </c>
      <c r="I28" t="str">
        <f t="shared" si="0"/>
        <v>02/27(土) 臨時休業</v>
      </c>
    </row>
    <row r="29" spans="1:9" x14ac:dyDescent="0.2">
      <c r="A29" s="10" t="s">
        <v>110</v>
      </c>
      <c r="B29" s="10" t="s">
        <v>138</v>
      </c>
      <c r="C29" s="10" t="s">
        <v>129</v>
      </c>
      <c r="D29" s="10" t="s">
        <v>139</v>
      </c>
      <c r="E29" t="s">
        <v>146</v>
      </c>
      <c r="F29" s="10" t="s">
        <v>140</v>
      </c>
      <c r="G29" t="s">
        <v>147</v>
      </c>
      <c r="I29" t="str">
        <f t="shared" si="0"/>
        <v>02/28(日) 臨時休業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20190901</vt:lpstr>
      <vt:lpstr>Sheet3</vt:lpstr>
      <vt:lpstr>Sheet2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2021-06-04T12:43:18Z</dcterms:modified>
</cp:coreProperties>
</file>