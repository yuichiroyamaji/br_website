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host\br_website\docs\"/>
    </mc:Choice>
  </mc:AlternateContent>
  <xr:revisionPtr revIDLastSave="0" documentId="13_ncr:1_{DB0E4575-0E67-4737-94F4-60B075EB70C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Sheet1" sheetId="1" r:id="rId1"/>
    <sheet name="20190901" sheetId="5" r:id="rId2"/>
    <sheet name="Sheet3" sheetId="7" r:id="rId3"/>
    <sheet name="Sheet2" sheetId="6" r:id="rId4"/>
    <sheet name="20210918" sheetId="8" r:id="rId5"/>
    <sheet name="en" sheetId="4" r:id="rId6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" i="8"/>
  <c r="D28" i="5"/>
  <c r="E28" i="5" s="1"/>
  <c r="I28" i="5" s="1"/>
  <c r="M28" i="5" s="1"/>
  <c r="D22" i="5"/>
  <c r="E22" i="5" s="1"/>
  <c r="I22" i="5" s="1"/>
  <c r="M22" i="5" s="1"/>
  <c r="D21" i="5"/>
  <c r="E21" i="5" s="1"/>
  <c r="I21" i="5" s="1"/>
  <c r="M21" i="5" s="1"/>
  <c r="D16" i="5"/>
  <c r="E16" i="5" s="1"/>
  <c r="I16" i="5" s="1"/>
  <c r="M16" i="5" s="1"/>
  <c r="D11" i="5"/>
  <c r="E11" i="5" s="1"/>
  <c r="I11" i="5" s="1"/>
  <c r="M11" i="5" s="1"/>
  <c r="D10" i="5"/>
  <c r="E10" i="5" s="1"/>
  <c r="I10" i="5" s="1"/>
  <c r="M10" i="5" s="1"/>
  <c r="D4" i="5"/>
  <c r="E4" i="5" s="1"/>
  <c r="I4" i="5" s="1"/>
  <c r="M4" i="5" s="1"/>
  <c r="D5" i="5"/>
  <c r="E5" i="5" s="1"/>
  <c r="I5" i="5" s="1"/>
  <c r="M5" i="5" s="1"/>
  <c r="D6" i="5"/>
  <c r="E6" i="5" s="1"/>
  <c r="I6" i="5" s="1"/>
  <c r="M6" i="5" s="1"/>
  <c r="D7" i="5"/>
  <c r="E7" i="5" s="1"/>
  <c r="I7" i="5" s="1"/>
  <c r="M7" i="5" s="1"/>
  <c r="D2" i="5"/>
  <c r="E2" i="5" s="1"/>
  <c r="I2" i="5" s="1"/>
  <c r="M2" i="5" s="1"/>
  <c r="Q32" i="5"/>
  <c r="Q31" i="5"/>
  <c r="Q30" i="5"/>
  <c r="Q29" i="5"/>
  <c r="Q28" i="5"/>
  <c r="Q27" i="5"/>
  <c r="Q26" i="5"/>
  <c r="Q25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D3" i="5"/>
  <c r="E3" i="5" s="1"/>
  <c r="I3" i="5" s="1"/>
  <c r="M3" i="5" s="1"/>
  <c r="E31" i="7"/>
  <c r="E28" i="7"/>
  <c r="E27" i="7"/>
  <c r="E26" i="7"/>
  <c r="E25" i="7"/>
  <c r="E24" i="7"/>
  <c r="E21" i="7"/>
  <c r="E20" i="7"/>
  <c r="E19" i="7"/>
  <c r="E18" i="7"/>
  <c r="E17" i="7"/>
  <c r="E14" i="7"/>
  <c r="E13" i="7"/>
  <c r="E12" i="7"/>
  <c r="E11" i="7"/>
  <c r="E10" i="7"/>
  <c r="E7" i="7"/>
  <c r="E6" i="7"/>
  <c r="E30" i="7"/>
  <c r="E29" i="7"/>
  <c r="E23" i="7"/>
  <c r="E22" i="7"/>
  <c r="E16" i="7"/>
  <c r="E15" i="7"/>
  <c r="E9" i="7"/>
  <c r="E8" i="7"/>
  <c r="E5" i="7"/>
  <c r="E4" i="7"/>
  <c r="E3" i="7"/>
  <c r="E2" i="7"/>
  <c r="E1" i="7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D32" i="5"/>
  <c r="E32" i="5" s="1"/>
  <c r="I32" i="5" s="1"/>
  <c r="M32" i="5" s="1"/>
  <c r="D31" i="5"/>
  <c r="E31" i="5" s="1"/>
  <c r="I31" i="5" s="1"/>
  <c r="M31" i="5" s="1"/>
  <c r="D30" i="5"/>
  <c r="E30" i="5" s="1"/>
  <c r="I30" i="5" s="1"/>
  <c r="M30" i="5" s="1"/>
  <c r="D29" i="5"/>
  <c r="E29" i="5" s="1"/>
  <c r="I29" i="5" s="1"/>
  <c r="M29" i="5" s="1"/>
  <c r="D27" i="5"/>
  <c r="E27" i="5" s="1"/>
  <c r="I27" i="5" s="1"/>
  <c r="M27" i="5" s="1"/>
  <c r="D26" i="5"/>
  <c r="E26" i="5" s="1"/>
  <c r="I26" i="5" s="1"/>
  <c r="M26" i="5" s="1"/>
  <c r="D25" i="5"/>
  <c r="E25" i="5" s="1"/>
  <c r="I25" i="5" s="1"/>
  <c r="M25" i="5" s="1"/>
  <c r="D24" i="5"/>
  <c r="E24" i="5" s="1"/>
  <c r="I24" i="5" s="1"/>
  <c r="M24" i="5" s="1"/>
  <c r="D23" i="5"/>
  <c r="E23" i="5" s="1"/>
  <c r="I23" i="5" s="1"/>
  <c r="M23" i="5" s="1"/>
  <c r="D20" i="5"/>
  <c r="E20" i="5" s="1"/>
  <c r="I20" i="5" s="1"/>
  <c r="M20" i="5" s="1"/>
  <c r="D19" i="5"/>
  <c r="E19" i="5" s="1"/>
  <c r="I19" i="5" s="1"/>
  <c r="M19" i="5" s="1"/>
  <c r="D18" i="5"/>
  <c r="E18" i="5" s="1"/>
  <c r="I18" i="5" s="1"/>
  <c r="M18" i="5" s="1"/>
  <c r="D17" i="5"/>
  <c r="E17" i="5" s="1"/>
  <c r="I17" i="5" s="1"/>
  <c r="M17" i="5" s="1"/>
  <c r="D15" i="5"/>
  <c r="E15" i="5" s="1"/>
  <c r="I15" i="5" s="1"/>
  <c r="M15" i="5" s="1"/>
  <c r="D14" i="5"/>
  <c r="E14" i="5" s="1"/>
  <c r="I14" i="5" s="1"/>
  <c r="M14" i="5" s="1"/>
  <c r="D13" i="5"/>
  <c r="E13" i="5" s="1"/>
  <c r="I13" i="5" s="1"/>
  <c r="M13" i="5" s="1"/>
  <c r="D12" i="5"/>
  <c r="E12" i="5" s="1"/>
  <c r="I12" i="5" s="1"/>
  <c r="M12" i="5" s="1"/>
  <c r="D9" i="5"/>
  <c r="E9" i="5" s="1"/>
  <c r="I9" i="5" s="1"/>
  <c r="M9" i="5" s="1"/>
  <c r="D8" i="5"/>
  <c r="E8" i="5" s="1"/>
  <c r="I8" i="5" s="1"/>
  <c r="M8" i="5" s="1"/>
  <c r="O2" i="5" l="1"/>
  <c r="P2" i="5" s="1"/>
  <c r="O25" i="5"/>
  <c r="P25" i="5" s="1"/>
  <c r="O9" i="5"/>
  <c r="P9" i="5" s="1"/>
  <c r="O16" i="5"/>
  <c r="P16" i="5" s="1"/>
  <c r="O24" i="5"/>
  <c r="P24" i="5" s="1"/>
  <c r="O12" i="5"/>
  <c r="P12" i="5" s="1"/>
  <c r="O5" i="5"/>
  <c r="P5" i="5" s="1"/>
  <c r="O20" i="5"/>
  <c r="P20" i="5" s="1"/>
  <c r="O18" i="5"/>
  <c r="P18" i="5" s="1"/>
  <c r="O26" i="5"/>
  <c r="P26" i="5" s="1"/>
  <c r="O6" i="5"/>
  <c r="P6" i="5" s="1"/>
  <c r="O21" i="5"/>
  <c r="P21" i="5" s="1"/>
  <c r="O27" i="5"/>
  <c r="P27" i="5" s="1"/>
  <c r="O17" i="5"/>
  <c r="P17" i="5" s="1"/>
  <c r="O19" i="5"/>
  <c r="P19" i="5" s="1"/>
  <c r="O7" i="5"/>
  <c r="P7" i="5" s="1"/>
  <c r="O28" i="5"/>
  <c r="P28" i="5" s="1"/>
  <c r="O29" i="5"/>
  <c r="P29" i="5" s="1"/>
  <c r="O30" i="5"/>
  <c r="P30" i="5" s="1"/>
  <c r="O8" i="5"/>
  <c r="P8" i="5" s="1"/>
  <c r="O15" i="5"/>
  <c r="P15" i="5" s="1"/>
  <c r="O31" i="5"/>
  <c r="P31" i="5" s="1"/>
  <c r="O3" i="5"/>
  <c r="P3" i="5" s="1"/>
  <c r="O4" i="5"/>
  <c r="P4" i="5" s="1"/>
  <c r="O13" i="5"/>
  <c r="P13" i="5" s="1"/>
  <c r="O10" i="5"/>
  <c r="P10" i="5" s="1"/>
  <c r="O23" i="5"/>
  <c r="P23" i="5" s="1"/>
  <c r="O32" i="5"/>
  <c r="P32" i="5" s="1"/>
  <c r="O11" i="5"/>
  <c r="P11" i="5" s="1"/>
  <c r="O14" i="5"/>
  <c r="P14" i="5" s="1"/>
  <c r="O22" i="5"/>
  <c r="P22" i="5" s="1"/>
  <c r="E32" i="1"/>
  <c r="I32" i="1" s="1"/>
  <c r="M32" i="1" s="1"/>
  <c r="N32" i="1" s="1"/>
  <c r="O32" i="1" l="1"/>
  <c r="B32" i="4"/>
  <c r="C32" i="4" s="1"/>
  <c r="F32" i="4" s="1"/>
  <c r="B31" i="4"/>
  <c r="C31" i="4" s="1"/>
  <c r="F31" i="4" s="1"/>
  <c r="B30" i="4"/>
  <c r="C30" i="4" s="1"/>
  <c r="F30" i="4" s="1"/>
  <c r="B29" i="4"/>
  <c r="C29" i="4" s="1"/>
  <c r="F29" i="4" s="1"/>
  <c r="B28" i="4"/>
  <c r="C28" i="4" s="1"/>
  <c r="F28" i="4" s="1"/>
  <c r="B27" i="4"/>
  <c r="C27" i="4" s="1"/>
  <c r="F27" i="4" s="1"/>
  <c r="B26" i="4"/>
  <c r="C26" i="4" s="1"/>
  <c r="F26" i="4" s="1"/>
  <c r="B25" i="4"/>
  <c r="C25" i="4" s="1"/>
  <c r="F25" i="4" s="1"/>
  <c r="B24" i="4"/>
  <c r="C24" i="4" s="1"/>
  <c r="F24" i="4" s="1"/>
  <c r="B23" i="4"/>
  <c r="C23" i="4" s="1"/>
  <c r="F23" i="4" s="1"/>
  <c r="B22" i="4"/>
  <c r="C22" i="4" s="1"/>
  <c r="F22" i="4" s="1"/>
  <c r="B21" i="4"/>
  <c r="C21" i="4" s="1"/>
  <c r="F21" i="4" s="1"/>
  <c r="B20" i="4"/>
  <c r="C20" i="4" s="1"/>
  <c r="F20" i="4" s="1"/>
  <c r="B19" i="4"/>
  <c r="C19" i="4" s="1"/>
  <c r="F19" i="4" s="1"/>
  <c r="B18" i="4"/>
  <c r="C18" i="4" s="1"/>
  <c r="F18" i="4" s="1"/>
  <c r="B17" i="4"/>
  <c r="C17" i="4" s="1"/>
  <c r="F17" i="4" s="1"/>
  <c r="B16" i="4"/>
  <c r="C16" i="4" s="1"/>
  <c r="F16" i="4" s="1"/>
  <c r="B15" i="4"/>
  <c r="C15" i="4" s="1"/>
  <c r="F15" i="4" s="1"/>
  <c r="B14" i="4"/>
  <c r="C14" i="4" s="1"/>
  <c r="F14" i="4" s="1"/>
  <c r="B13" i="4"/>
  <c r="C13" i="4" s="1"/>
  <c r="F13" i="4" s="1"/>
  <c r="B12" i="4"/>
  <c r="C12" i="4" s="1"/>
  <c r="F12" i="4" s="1"/>
  <c r="B11" i="4"/>
  <c r="C11" i="4" s="1"/>
  <c r="F11" i="4" s="1"/>
  <c r="B3" i="4"/>
  <c r="C3" i="4" s="1"/>
  <c r="F3" i="4" s="1"/>
  <c r="B4" i="4"/>
  <c r="C4" i="4" s="1"/>
  <c r="F4" i="4" s="1"/>
  <c r="B5" i="4"/>
  <c r="C5" i="4" s="1"/>
  <c r="F5" i="4" s="1"/>
  <c r="B6" i="4"/>
  <c r="C6" i="4" s="1"/>
  <c r="F6" i="4" s="1"/>
  <c r="B7" i="4"/>
  <c r="C7" i="4" s="1"/>
  <c r="F7" i="4" s="1"/>
  <c r="B8" i="4"/>
  <c r="C8" i="4" s="1"/>
  <c r="F8" i="4" s="1"/>
  <c r="B9" i="4"/>
  <c r="C9" i="4" s="1"/>
  <c r="F9" i="4" s="1"/>
  <c r="B10" i="4"/>
  <c r="C10" i="4" s="1"/>
  <c r="F10" i="4" s="1"/>
  <c r="B2" i="4"/>
  <c r="C2" i="4" s="1"/>
  <c r="F2" i="4" s="1"/>
  <c r="G32" i="4" l="1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K2" i="4" l="1"/>
  <c r="K14" i="4"/>
  <c r="K20" i="4"/>
  <c r="K23" i="4"/>
  <c r="K27" i="4"/>
  <c r="K3" i="4"/>
  <c r="K7" i="4"/>
  <c r="K11" i="4"/>
  <c r="K18" i="4"/>
  <c r="K21" i="4"/>
  <c r="K24" i="4"/>
  <c r="K10" i="4"/>
  <c r="K4" i="4"/>
  <c r="K8" i="4"/>
  <c r="K12" i="4"/>
  <c r="K15" i="4"/>
  <c r="K19" i="4"/>
  <c r="K22" i="4"/>
  <c r="K25" i="4"/>
  <c r="K28" i="4"/>
  <c r="K31" i="4"/>
  <c r="K9" i="4"/>
  <c r="K16" i="4"/>
  <c r="K26" i="4"/>
  <c r="K29" i="4"/>
  <c r="K32" i="4"/>
  <c r="K5" i="4"/>
  <c r="K13" i="4"/>
  <c r="K6" i="4"/>
  <c r="K17" i="4"/>
  <c r="K30" i="4"/>
  <c r="E31" i="1"/>
  <c r="I31" i="1" s="1"/>
  <c r="M31" i="1" s="1"/>
  <c r="N31" i="1" s="1"/>
  <c r="E30" i="1"/>
  <c r="I30" i="1" s="1"/>
  <c r="M30" i="1" s="1"/>
  <c r="E29" i="1"/>
  <c r="I29" i="1" s="1"/>
  <c r="M29" i="1" s="1"/>
  <c r="N29" i="1" s="1"/>
  <c r="E28" i="1"/>
  <c r="I28" i="1" s="1"/>
  <c r="M28" i="1" s="1"/>
  <c r="E27" i="1"/>
  <c r="I27" i="1" s="1"/>
  <c r="M27" i="1" s="1"/>
  <c r="N27" i="1" s="1"/>
  <c r="E26" i="1"/>
  <c r="I26" i="1" s="1"/>
  <c r="M26" i="1" s="1"/>
  <c r="E25" i="1"/>
  <c r="I25" i="1" s="1"/>
  <c r="M25" i="1" s="1"/>
  <c r="N25" i="1" s="1"/>
  <c r="E24" i="1"/>
  <c r="I24" i="1" s="1"/>
  <c r="M24" i="1" s="1"/>
  <c r="E23" i="1"/>
  <c r="I23" i="1" s="1"/>
  <c r="M23" i="1" s="1"/>
  <c r="E22" i="1"/>
  <c r="I22" i="1" s="1"/>
  <c r="M22" i="1" s="1"/>
  <c r="N22" i="1" s="1"/>
  <c r="E21" i="1"/>
  <c r="I21" i="1" s="1"/>
  <c r="M21" i="1" s="1"/>
  <c r="E20" i="1"/>
  <c r="I20" i="1" s="1"/>
  <c r="M20" i="1" s="1"/>
  <c r="N20" i="1" s="1"/>
  <c r="E19" i="1"/>
  <c r="I19" i="1" s="1"/>
  <c r="M19" i="1" s="1"/>
  <c r="E18" i="1"/>
  <c r="I18" i="1" s="1"/>
  <c r="M18" i="1" s="1"/>
  <c r="N18" i="1" s="1"/>
  <c r="E17" i="1"/>
  <c r="I17" i="1" s="1"/>
  <c r="M17" i="1" s="1"/>
  <c r="E16" i="1"/>
  <c r="I16" i="1" s="1"/>
  <c r="M16" i="1" s="1"/>
  <c r="N16" i="1" s="1"/>
  <c r="O16" i="1" s="1"/>
  <c r="E15" i="1"/>
  <c r="I15" i="1" s="1"/>
  <c r="M15" i="1" s="1"/>
  <c r="N15" i="1" s="1"/>
  <c r="O15" i="1" s="1"/>
  <c r="E14" i="1"/>
  <c r="I14" i="1" s="1"/>
  <c r="M14" i="1" s="1"/>
  <c r="N14" i="1" s="1"/>
  <c r="O14" i="1" s="1"/>
  <c r="E13" i="1"/>
  <c r="I13" i="1" s="1"/>
  <c r="M13" i="1" s="1"/>
  <c r="N13" i="1" s="1"/>
  <c r="O13" i="1" s="1"/>
  <c r="E12" i="1"/>
  <c r="I12" i="1" s="1"/>
  <c r="M12" i="1" s="1"/>
  <c r="E11" i="1"/>
  <c r="I11" i="1" s="1"/>
  <c r="M11" i="1" s="1"/>
  <c r="N11" i="1" s="1"/>
  <c r="O11" i="1" s="1"/>
  <c r="E10" i="1"/>
  <c r="I10" i="1" s="1"/>
  <c r="M10" i="1" s="1"/>
  <c r="N10" i="1" s="1"/>
  <c r="O10" i="1" s="1"/>
  <c r="E9" i="1"/>
  <c r="I9" i="1" s="1"/>
  <c r="M9" i="1" s="1"/>
  <c r="N9" i="1" s="1"/>
  <c r="O9" i="1" s="1"/>
  <c r="E8" i="1"/>
  <c r="I8" i="1" s="1"/>
  <c r="M8" i="1" s="1"/>
  <c r="N8" i="1" s="1"/>
  <c r="O8" i="1" s="1"/>
  <c r="E7" i="1"/>
  <c r="I7" i="1" s="1"/>
  <c r="M7" i="1" s="1"/>
  <c r="N7" i="1" s="1"/>
  <c r="O7" i="1" s="1"/>
  <c r="E6" i="1"/>
  <c r="I6" i="1" s="1"/>
  <c r="M6" i="1" s="1"/>
  <c r="N6" i="1" s="1"/>
  <c r="O6" i="1" s="1"/>
  <c r="E5" i="1"/>
  <c r="I5" i="1" s="1"/>
  <c r="M5" i="1" s="1"/>
  <c r="N5" i="1" s="1"/>
  <c r="O5" i="1" s="1"/>
  <c r="E4" i="1"/>
  <c r="I4" i="1" s="1"/>
  <c r="M4" i="1" s="1"/>
  <c r="N4" i="1" s="1"/>
  <c r="O4" i="1" s="1"/>
  <c r="E3" i="1"/>
  <c r="I3" i="1" s="1"/>
  <c r="M3" i="1" s="1"/>
  <c r="N3" i="1" s="1"/>
  <c r="O3" i="1" s="1"/>
  <c r="E2" i="1"/>
  <c r="I2" i="1" s="1"/>
  <c r="M2" i="1" s="1"/>
  <c r="N2" i="1" s="1"/>
  <c r="O2" i="1" s="1"/>
  <c r="M16" i="4" l="1"/>
  <c r="O16" i="4" s="1"/>
  <c r="P16" i="4" s="1"/>
  <c r="Q16" i="4" s="1"/>
  <c r="M24" i="4"/>
  <c r="O24" i="4" s="1"/>
  <c r="P24" i="4" s="1"/>
  <c r="Q24" i="4" s="1"/>
  <c r="M9" i="4"/>
  <c r="O9" i="4" s="1"/>
  <c r="P9" i="4" s="1"/>
  <c r="Q9" i="4" s="1"/>
  <c r="M21" i="4"/>
  <c r="O21" i="4" s="1"/>
  <c r="P21" i="4" s="1"/>
  <c r="Q21" i="4" s="1"/>
  <c r="M5" i="4"/>
  <c r="O5" i="4" s="1"/>
  <c r="P5" i="4" s="1"/>
  <c r="Q5" i="4" s="1"/>
  <c r="M31" i="4"/>
  <c r="O31" i="4" s="1"/>
  <c r="P31" i="4" s="1"/>
  <c r="Q31" i="4" s="1"/>
  <c r="M18" i="4"/>
  <c r="O18" i="4" s="1"/>
  <c r="P18" i="4" s="1"/>
  <c r="Q18" i="4" s="1"/>
  <c r="M26" i="4"/>
  <c r="O26" i="4" s="1"/>
  <c r="P26" i="4" s="1"/>
  <c r="Q26" i="4" s="1"/>
  <c r="M10" i="4"/>
  <c r="O10" i="4" s="1"/>
  <c r="P10" i="4" s="1"/>
  <c r="Q10" i="4" s="1"/>
  <c r="M28" i="4"/>
  <c r="O28" i="4" s="1"/>
  <c r="P28" i="4" s="1"/>
  <c r="Q28" i="4" s="1"/>
  <c r="M11" i="4"/>
  <c r="O11" i="4" s="1"/>
  <c r="P11" i="4" s="1"/>
  <c r="Q11" i="4" s="1"/>
  <c r="M30" i="4"/>
  <c r="O30" i="4" s="1"/>
  <c r="P30" i="4" s="1"/>
  <c r="Q30" i="4" s="1"/>
  <c r="M25" i="4"/>
  <c r="O25" i="4" s="1"/>
  <c r="P25" i="4" s="1"/>
  <c r="Q25" i="4" s="1"/>
  <c r="M7" i="4"/>
  <c r="O7" i="4" s="1"/>
  <c r="P7" i="4" s="1"/>
  <c r="Q7" i="4" s="1"/>
  <c r="M17" i="4"/>
  <c r="O17" i="4" s="1"/>
  <c r="P17" i="4" s="1"/>
  <c r="Q17" i="4" s="1"/>
  <c r="M22" i="4"/>
  <c r="O22" i="4" s="1"/>
  <c r="P22" i="4" s="1"/>
  <c r="Q22" i="4" s="1"/>
  <c r="M3" i="4"/>
  <c r="O3" i="4" s="1"/>
  <c r="P3" i="4" s="1"/>
  <c r="Q3" i="4" s="1"/>
  <c r="M19" i="4"/>
  <c r="O19" i="4" s="1"/>
  <c r="P19" i="4" s="1"/>
  <c r="Q19" i="4" s="1"/>
  <c r="M27" i="4"/>
  <c r="O27" i="4" s="1"/>
  <c r="P27" i="4" s="1"/>
  <c r="Q27" i="4" s="1"/>
  <c r="M6" i="4"/>
  <c r="O6" i="4" s="1"/>
  <c r="P6" i="4" s="1"/>
  <c r="Q6" i="4" s="1"/>
  <c r="M13" i="4"/>
  <c r="O13" i="4" s="1"/>
  <c r="P13" i="4" s="1"/>
  <c r="Q13" i="4" s="1"/>
  <c r="M15" i="4"/>
  <c r="O15" i="4" s="1"/>
  <c r="P15" i="4" s="1"/>
  <c r="Q15" i="4" s="1"/>
  <c r="M23" i="4"/>
  <c r="O23" i="4" s="1"/>
  <c r="P23" i="4" s="1"/>
  <c r="Q23" i="4" s="1"/>
  <c r="M12" i="4"/>
  <c r="O12" i="4" s="1"/>
  <c r="P12" i="4" s="1"/>
  <c r="Q12" i="4" s="1"/>
  <c r="M20" i="4"/>
  <c r="O20" i="4" s="1"/>
  <c r="P20" i="4" s="1"/>
  <c r="Q20" i="4" s="1"/>
  <c r="M32" i="4"/>
  <c r="O32" i="4" s="1"/>
  <c r="P32" i="4" s="1"/>
  <c r="Q32" i="4" s="1"/>
  <c r="M8" i="4"/>
  <c r="O8" i="4" s="1"/>
  <c r="P8" i="4" s="1"/>
  <c r="Q8" i="4" s="1"/>
  <c r="M14" i="4"/>
  <c r="O14" i="4" s="1"/>
  <c r="P14" i="4" s="1"/>
  <c r="Q14" i="4" s="1"/>
  <c r="M29" i="4"/>
  <c r="O29" i="4" s="1"/>
  <c r="P29" i="4" s="1"/>
  <c r="Q29" i="4" s="1"/>
  <c r="M4" i="4"/>
  <c r="O4" i="4" s="1"/>
  <c r="P4" i="4" s="1"/>
  <c r="Q4" i="4" s="1"/>
  <c r="M2" i="4"/>
  <c r="O2" i="4" s="1"/>
  <c r="P2" i="4" s="1"/>
  <c r="Q2" i="4" s="1"/>
  <c r="O18" i="1"/>
  <c r="O20" i="1"/>
  <c r="O22" i="1"/>
  <c r="O25" i="1"/>
  <c r="O27" i="1"/>
  <c r="O29" i="1"/>
  <c r="O31" i="1"/>
  <c r="N12" i="1"/>
  <c r="O12" i="1" s="1"/>
  <c r="N17" i="1"/>
  <c r="O17" i="1" s="1"/>
  <c r="N19" i="1"/>
  <c r="O19" i="1" s="1"/>
  <c r="N21" i="1"/>
  <c r="O21" i="1" s="1"/>
  <c r="N23" i="1"/>
  <c r="O23" i="1" s="1"/>
  <c r="N24" i="1"/>
  <c r="O24" i="1" s="1"/>
  <c r="N26" i="1"/>
  <c r="O26" i="1" s="1"/>
  <c r="N28" i="1"/>
  <c r="O28" i="1" s="1"/>
  <c r="N30" i="1"/>
  <c r="O30" i="1" s="1"/>
</calcChain>
</file>

<file path=xl/sharedStrings.xml><?xml version="1.0" encoding="utf-8"?>
<sst xmlns="http://schemas.openxmlformats.org/spreadsheetml/2006/main" count="764" uniqueCount="216">
  <si>
    <t>1日月曜 柘榴</t>
  </si>
  <si>
    <t>2日火曜 イリヤ</t>
  </si>
  <si>
    <t>3日水曜 カナ</t>
  </si>
  <si>
    <t>4日木曜 柘榴</t>
  </si>
  <si>
    <t>5日金曜 美咲</t>
  </si>
  <si>
    <t>6日土曜 イリヤ</t>
  </si>
  <si>
    <t>7日日曜 カーマ</t>
  </si>
  <si>
    <t>8日月曜 カーマ</t>
  </si>
  <si>
    <t>9日火曜 カナ</t>
  </si>
  <si>
    <t>10日水曜 未定</t>
  </si>
  <si>
    <t>11日木曜 イリヤ</t>
  </si>
  <si>
    <t>12日金曜 美咲</t>
  </si>
  <si>
    <t>13日土曜 美咲、イリヤ</t>
  </si>
  <si>
    <t>14日日曜 柘榴</t>
  </si>
  <si>
    <t>15日月曜 休み</t>
  </si>
  <si>
    <t>16日火曜 柘榴</t>
  </si>
  <si>
    <t>17日水曜 カナ</t>
  </si>
  <si>
    <t>18日木曜 イリヤ</t>
  </si>
  <si>
    <t>19日金曜 美咲</t>
  </si>
  <si>
    <t>20日土曜 美咲、イリヤ</t>
  </si>
  <si>
    <t>21日日曜 カナ</t>
  </si>
  <si>
    <t>22日月曜 柘榴</t>
  </si>
  <si>
    <t>23日火曜 カーマ</t>
  </si>
  <si>
    <t>24日水曜 柘榴</t>
  </si>
  <si>
    <t>25日木曜 イリヤ</t>
  </si>
  <si>
    <t>26日金曜 美咲</t>
  </si>
  <si>
    <t>27日土曜 柘榴バースデー、柘榴、美咲、イリヤ</t>
  </si>
  <si>
    <t>28日日曜 柘榴</t>
  </si>
  <si>
    <t>29日月曜 休み</t>
  </si>
  <si>
    <t>30日火曜 カーマ</t>
  </si>
  <si>
    <t>31日水曜 カナ</t>
  </si>
  <si>
    <t>データ貼り付け</t>
    <rPh sb="3" eb="4">
      <t>ハ</t>
    </rPh>
    <rPh sb="5" eb="6">
      <t>ツ</t>
    </rPh>
    <phoneticPr fontId="1"/>
  </si>
  <si>
    <t>Ｒｅｐｌａｃｅ</t>
    <phoneticPr fontId="1"/>
  </si>
  <si>
    <t>開始</t>
    <rPh sb="0" eb="2">
      <t>カイシ</t>
    </rPh>
    <phoneticPr fontId="1"/>
  </si>
  <si>
    <t>文字数</t>
    <rPh sb="0" eb="3">
      <t>モジスウ</t>
    </rPh>
    <phoneticPr fontId="1"/>
  </si>
  <si>
    <t>置換文字</t>
    <rPh sb="0" eb="2">
      <t>オキカエ</t>
    </rPh>
    <rPh sb="2" eb="4">
      <t>モジ</t>
    </rPh>
    <phoneticPr fontId="1"/>
  </si>
  <si>
    <t>日(</t>
    <rPh sb="0" eb="1">
      <t>ニチ</t>
    </rPh>
    <phoneticPr fontId="1"/>
  </si>
  <si>
    <t>)&lt;/td&gt;&lt;td&gt;</t>
    <phoneticPr fontId="1"/>
  </si>
  <si>
    <t>Mid</t>
    <phoneticPr fontId="1"/>
  </si>
  <si>
    <t>土日処理</t>
    <rPh sb="0" eb="2">
      <t>ドニチ</t>
    </rPh>
    <rPh sb="2" eb="4">
      <t>ショリ</t>
    </rPh>
    <phoneticPr fontId="1"/>
  </si>
  <si>
    <t>日曜処理→ソースコピペ</t>
    <rPh sb="0" eb="2">
      <t>ニチヨウ</t>
    </rPh>
    <rPh sb="2" eb="4">
      <t>ショリ</t>
    </rPh>
    <phoneticPr fontId="1"/>
  </si>
  <si>
    <t>Mid</t>
    <phoneticPr fontId="1"/>
  </si>
  <si>
    <t>&lt;tr&gt;&lt;td&gt;</t>
    <phoneticPr fontId="1"/>
  </si>
  <si>
    <t>&lt;tr&gt;&lt;td&gt;1st(Mon)&lt;/td&gt;&lt;td&gt; Zakuro&lt;/td&gt;&lt;/tr&gt;</t>
  </si>
  <si>
    <t>&lt;tr&gt;&lt;td&gt;2nd(Tue)&lt;/td&gt;&lt;td&gt; Iriya&lt;/td&gt;&lt;/tr&gt;</t>
  </si>
  <si>
    <t>&lt;tr&gt;&lt;td&gt;3rd(Wed)&lt;/td&gt;&lt;td&gt; Kana&lt;/td&gt;&lt;/tr&gt;</t>
  </si>
  <si>
    <t>&lt;tr&gt;&lt;td&gt;4th(Thu)&lt;/td&gt;&lt;td&gt; Zakuro&lt;/td&gt;&lt;/tr&gt;</t>
  </si>
  <si>
    <t>&lt;tr&gt;&lt;td&gt;5th(Fri)&lt;/td&gt;&lt;td&gt; Misaki&lt;/td&gt;&lt;/tr&gt;</t>
  </si>
  <si>
    <t>&lt;tr&gt;&lt;td&gt;8th(Mon)&lt;/td&gt;&lt;td&gt; Kalma&lt;/td&gt;&lt;/tr&gt;</t>
  </si>
  <si>
    <t>&lt;tr&gt;&lt;td&gt;9th(Tue)&lt;/td&gt;&lt;td&gt; Kana&lt;/td&gt;&lt;/tr&gt;</t>
  </si>
  <si>
    <t>&lt;tr&gt;&lt;td&gt;11th(Thu)&lt;/td&gt;&lt;td&gt; Iriya&lt;/td&gt;&lt;/tr&gt;</t>
  </si>
  <si>
    <t>&lt;tr&gt;&lt;td&gt;12th(Fri)&lt;/td&gt;&lt;td&gt; Misaki&lt;/td&gt;&lt;/tr&gt;</t>
  </si>
  <si>
    <t>&lt;tr&gt;&lt;td&gt;16th(Tue)&lt;/td&gt;&lt;td&gt; Zakuro&lt;/td&gt;&lt;/tr&gt;</t>
  </si>
  <si>
    <t>&lt;tr&gt;&lt;td&gt;17th(Wed)&lt;/td&gt;&lt;td&gt; Kana&lt;/td&gt;&lt;/tr&gt;</t>
  </si>
  <si>
    <t>&lt;tr&gt;&lt;td&gt;18th(Thu)&lt;/td&gt;&lt;td&gt; Iriya&lt;/td&gt;&lt;/tr&gt;</t>
  </si>
  <si>
    <t>&lt;tr&gt;&lt;td&gt;19th(Fri)&lt;/td&gt;&lt;td&gt; Misaki&lt;/td&gt;&lt;/tr&gt;</t>
  </si>
  <si>
    <t>&lt;tr&gt;&lt;td&gt;22nd(Mon)&lt;/td&gt;&lt;td&gt; Zakuro&lt;/td&gt;&lt;/tr&gt;</t>
  </si>
  <si>
    <t>&lt;tr&gt;&lt;td&gt;23rd(Tue)&lt;/td&gt;&lt;td&gt; Kalma&lt;/td&gt;&lt;/tr&gt;</t>
  </si>
  <si>
    <t>&lt;tr&gt;&lt;td&gt;24th(Wed)&lt;/td&gt;&lt;td&gt; Zakuro&lt;/td&gt;&lt;/tr&gt;</t>
  </si>
  <si>
    <t>&lt;tr&gt;&lt;td&gt;25th(Thu)&lt;/td&gt;&lt;td&gt; Iriya&lt;/td&gt;&lt;/tr&gt;</t>
  </si>
  <si>
    <t>&lt;tr&gt;&lt;td&gt;26th(Fri)&lt;/td&gt;&lt;td&gt; Misaki&lt;/td&gt;&lt;/tr&gt;</t>
  </si>
  <si>
    <t>&lt;tr&gt;&lt;td&gt;30th(Tue)&lt;/td&gt;&lt;td&gt; Kalma&lt;/td&gt;&lt;/tr&gt;</t>
  </si>
  <si>
    <t>&lt;tr&gt;&lt;td&gt;31st(Wed)&lt;/td&gt;&lt;td&gt; Kana&lt;/td&gt;&lt;/tr&gt;</t>
  </si>
  <si>
    <t>R列と全く同じ</t>
    <rPh sb="1" eb="2">
      <t>レツ</t>
    </rPh>
    <rPh sb="3" eb="4">
      <t>マッタ</t>
    </rPh>
    <rPh sb="5" eb="6">
      <t>オナ</t>
    </rPh>
    <phoneticPr fontId="1"/>
  </si>
  <si>
    <t>&lt;tr class='weekend'&gt;&lt;td&gt;6th(Sat)&lt;/td&gt;&lt;td&gt; Iriya&lt;/td&gt;&lt;/tr&gt;</t>
  </si>
  <si>
    <t>&lt;tr class='weekend'&gt;&lt;td&gt;7th(Sun)&lt;/td&gt;&lt;td&gt; Kalma&lt;span class='event_font'&gt;&amp;nbsp&amp;nbspHalf Hourly Charge!&lt;/span&gt;&lt;/td&gt;&lt;/tr&gt;</t>
  </si>
  <si>
    <t>&lt;tr class='weekend'&gt;&lt;td&gt;13th(Sat)&lt;/td&gt;&lt;td&gt; Misaki、Iriya&lt;/td&gt;&lt;/tr&gt;</t>
    <phoneticPr fontId="1"/>
  </si>
  <si>
    <t>&lt;tr class='weekend'&gt;&lt;td&gt;14th(Sun)&lt;/td&gt;&lt;td&gt; Zakuro&lt;span class='event_font'&gt;&amp;nbsp&amp;nbspHalf Hourly Charge!&lt;/span&gt;&lt;/td&gt;&lt;/tr&gt;</t>
  </si>
  <si>
    <t>&lt;tr class='weekend'&gt;&lt;td&gt;20th(Sat)&lt;/td&gt;&lt;td&gt; Misaki、Iriya&lt;/td&gt;&lt;/tr&gt;</t>
    <phoneticPr fontId="1"/>
  </si>
  <si>
    <t>&lt;tr class='weekend'&gt;&lt;td&gt;21st(Sun)&lt;/td&gt;&lt;td&gt; Kana&lt;span class='event_font'&gt;&amp;nbsp&amp;nbspHalf Hourly Charge!&lt;/span&gt;&lt;/td&gt;&lt;/tr&gt;</t>
  </si>
  <si>
    <t>&lt;tr class='weekend'&gt;&lt;td&gt;28th(Sun)&lt;/td&gt;&lt;td&gt; Zakuro&lt;span class='event_font'&gt;&amp;nbsp&amp;nbspHalf Hourly Charge!&lt;/span&gt;&lt;/td&gt;&lt;/tr&gt;</t>
  </si>
  <si>
    <t>&lt;tr&gt;&lt;td&gt;15th(Mon)&lt;/td&gt;&lt;td&gt; Closed&lt;/td&gt;&lt;/tr&gt;</t>
  </si>
  <si>
    <t>&lt;tr&gt;&lt;td&gt;29th(Mon)&lt;/td&gt;&lt;td&gt; Closed&lt;/td&gt;&lt;/tr&gt;</t>
  </si>
  <si>
    <t>&lt;tr&gt;&lt;td&gt;10th(Wed)&lt;/td&gt;&lt;td&gt; TBD&lt;/td&gt;&lt;/tr&gt;</t>
  </si>
  <si>
    <t>&lt;tr class='weekend'&gt;&lt;td&gt;27th(Sat)&lt;/td&gt;&lt;td&gt; Zakuro Birthday Party!!、Zakuro、Misaki、Iriya&lt;/td&gt;&lt;/tr&gt;</t>
    <phoneticPr fontId="1"/>
  </si>
  <si>
    <t>1日木曜 イリヤ</t>
  </si>
  <si>
    <t>2日金曜 美咲</t>
  </si>
  <si>
    <t>3日土曜 美咲、イリヤ</t>
  </si>
  <si>
    <t>4日日曜 柘榴</t>
  </si>
  <si>
    <t>5日月曜 カーマ</t>
  </si>
  <si>
    <t>6日火曜 柘榴</t>
  </si>
  <si>
    <t>7日水曜 未定</t>
  </si>
  <si>
    <t>8日木曜 イリヤ</t>
  </si>
  <si>
    <t>9日金曜 カーマ</t>
  </si>
  <si>
    <t>10日土曜 淀川花火の為休業</t>
  </si>
  <si>
    <t>11日日曜 カーマ</t>
  </si>
  <si>
    <t>12日月曜 カナ</t>
  </si>
  <si>
    <t>13日火曜 イリヤ</t>
  </si>
  <si>
    <t>14日水曜  柘榴</t>
  </si>
  <si>
    <t>15日木曜 カナ</t>
  </si>
  <si>
    <t>16日金曜 ことみ</t>
  </si>
  <si>
    <t>17日土曜 美咲、柘榴</t>
  </si>
  <si>
    <t>18日日曜 柘榴</t>
  </si>
  <si>
    <t>19日月曜 カーマ</t>
  </si>
  <si>
    <t>20日火曜 カーマ</t>
  </si>
  <si>
    <t>21日水曜 柘榴</t>
  </si>
  <si>
    <t>22日木曜 カーマ</t>
  </si>
  <si>
    <t>23日金曜 ことみ</t>
  </si>
  <si>
    <t>24日土曜 イリヤ、新人ミカ</t>
  </si>
  <si>
    <t>25日日曜 柘榴</t>
  </si>
  <si>
    <t>26日月曜 未定</t>
  </si>
  <si>
    <t>27日火曜 カーマ</t>
  </si>
  <si>
    <t>28日水曜 柘榴</t>
  </si>
  <si>
    <t>29日木曜 カーマ</t>
  </si>
  <si>
    <t>30日金曜 柘榴</t>
  </si>
  <si>
    <t>31日土曜 美咲、カーマ</t>
  </si>
  <si>
    <t>休み処理</t>
    <rPh sb="0" eb="1">
      <t>ヤス</t>
    </rPh>
    <rPh sb="2" eb="4">
      <t>ショリ</t>
    </rPh>
    <phoneticPr fontId="1"/>
  </si>
  <si>
    <t>月</t>
  </si>
  <si>
    <t>月</t>
    <rPh sb="0" eb="1">
      <t>ゲツ</t>
    </rPh>
    <phoneticPr fontId="1"/>
  </si>
  <si>
    <t>02</t>
  </si>
  <si>
    <t>02</t>
    <phoneticPr fontId="1"/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</si>
  <si>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</si>
  <si>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</si>
  <si>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</si>
  <si>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</si>
  <si>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</si>
  <si>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</si>
  <si>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</si>
  <si>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</si>
  <si>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</si>
  <si>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</si>
  <si>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</si>
  <si>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</si>
  <si>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</si>
  <si>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</si>
  <si>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</si>
  <si>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</si>
  <si>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</si>
  <si>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</si>
  <si>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</si>
  <si>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01</t>
    <phoneticPr fontId="1"/>
  </si>
  <si>
    <t>03</t>
  </si>
  <si>
    <t>04</t>
  </si>
  <si>
    <t>05</t>
  </si>
  <si>
    <t>06</t>
  </si>
  <si>
    <t>07</t>
  </si>
  <si>
    <t>08</t>
  </si>
  <si>
    <t>09</t>
  </si>
  <si>
    <t>/</t>
    <phoneticPr fontId="1"/>
  </si>
  <si>
    <t>(</t>
    <phoneticPr fontId="1"/>
  </si>
  <si>
    <t>)</t>
    <phoneticPr fontId="1"/>
  </si>
  <si>
    <t>火</t>
  </si>
  <si>
    <t>水</t>
  </si>
  <si>
    <t>木</t>
  </si>
  <si>
    <t>金</t>
  </si>
  <si>
    <t>土</t>
  </si>
  <si>
    <t>日</t>
  </si>
  <si>
    <t xml:space="preserve"> 臨時休業</t>
    <rPh sb="1" eb="3">
      <t>リンジ</t>
    </rPh>
    <rPh sb="3" eb="5">
      <t>キュウギョウ</t>
    </rPh>
    <phoneticPr fontId="1"/>
  </si>
  <si>
    <t>-</t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</si>
  <si>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</si>
  <si>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</si>
  <si>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</si>
  <si>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</si>
  <si>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</si>
  <si>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</si>
  <si>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</si>
  <si>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</si>
  <si>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</si>
  <si>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</si>
  <si>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</si>
  <si>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</si>
  <si>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</si>
  <si>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</si>
  <si>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</si>
  <si>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</si>
  <si>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</si>
  <si>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</si>
  <si>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</si>
  <si>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</si>
  <si>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</si>
  <si>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</si>
  <si>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</si>
  <si>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</si>
  <si>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</si>
  <si>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</si>
  <si>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</si>
  <si>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</si>
  <si>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</si>
  <si>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</si>
  <si>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</si>
  <si>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火</t>
    <rPh sb="0" eb="1">
      <t>カ</t>
    </rPh>
    <phoneticPr fontId="1"/>
  </si>
  <si>
    <t>09</t>
    <phoneticPr fontId="1"/>
  </si>
  <si>
    <t>=$A$1</t>
    <phoneticPr fontId="1"/>
  </si>
  <si>
    <t>=A1</t>
    <phoneticPr fontId="1"/>
  </si>
  <si>
    <t>水</t>
    <rPh sb="0" eb="1">
      <t>スイ</t>
    </rPh>
    <phoneticPr fontId="1"/>
  </si>
  <si>
    <t>臨時休業</t>
    <rPh sb="0" eb="2">
      <t>リンジ</t>
    </rPh>
    <rPh sb="2" eb="4">
      <t>キュウギョウ</t>
    </rPh>
    <phoneticPr fontId="1"/>
  </si>
  <si>
    <t xml:space="preserve">11/01(月) </t>
  </si>
  <si>
    <t xml:space="preserve">11/02(火) </t>
  </si>
  <si>
    <t>11/03(水) 柘榴</t>
  </si>
  <si>
    <t xml:space="preserve">11/04(木) </t>
  </si>
  <si>
    <t xml:space="preserve">11/05(金) </t>
  </si>
  <si>
    <t>11/06(土) 柘榴</t>
  </si>
  <si>
    <t xml:space="preserve">11/07(日) </t>
  </si>
  <si>
    <t xml:space="preserve">11/08(月) </t>
  </si>
  <si>
    <t xml:space="preserve">11/09(火) </t>
  </si>
  <si>
    <t>11/10(水) 柘榴</t>
  </si>
  <si>
    <t xml:space="preserve">11/11(木) </t>
  </si>
  <si>
    <t>11/12(金) 美咲</t>
  </si>
  <si>
    <t>11/13(土) 美咲, イリヤ</t>
  </si>
  <si>
    <t xml:space="preserve">11/14(日) </t>
  </si>
  <si>
    <t xml:space="preserve">11/15(月) </t>
  </si>
  <si>
    <t xml:space="preserve">11/16(火) </t>
  </si>
  <si>
    <t xml:space="preserve">11/17(水) </t>
  </si>
  <si>
    <t xml:space="preserve">11/18(木) </t>
  </si>
  <si>
    <t>11/19(金) 美咲</t>
  </si>
  <si>
    <t>11/20(土) 美咲, 柘榴</t>
  </si>
  <si>
    <t xml:space="preserve">11/21(日) </t>
  </si>
  <si>
    <t xml:space="preserve">11/22(月) </t>
  </si>
  <si>
    <t xml:space="preserve">11/23(火) </t>
  </si>
  <si>
    <t xml:space="preserve">11/24(水) </t>
  </si>
  <si>
    <t xml:space="preserve">11/25(木) </t>
  </si>
  <si>
    <t>11/26(金) イリヤ</t>
  </si>
  <si>
    <t>11/27(土) 柘榴</t>
  </si>
  <si>
    <t>11/28(日) 柘榴</t>
  </si>
  <si>
    <t xml:space="preserve">11/29(月) </t>
  </si>
  <si>
    <t>11/30(火)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</si>
</sst>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m/dd"/>
    <numFmt numFmtId="177" formatCode="00"/>
  </numFmts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theme="0" tint="-0.34998626667073579"/>
      <name val="ＭＳ Ｐゴシック"/>
      <family val="3"/>
      <charset val="128"/>
      <scheme val="minor"/>
    </font>
    <font>
      <sz val="11"/>
      <color theme="0" tint="-0.499984740745262"/>
      <name val="ＭＳ Ｐゴシック"/>
      <family val="2"/>
      <charset val="128"/>
      <scheme val="minor"/>
    </font>
    <font>
      <sz val="11"/>
      <color theme="0" tint="-0.499984740745262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sz val="1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3" fillId="2" borderId="0" xfId="0" applyFont="1" applyFill="1" applyAlignment="1">
      <alignment vertical="center" wrapText="1"/>
    </xf>
    <xf numFmtId="0" fontId="4" fillId="2" borderId="0" xfId="0" applyFont="1" applyFill="1">
      <alignment vertical="center"/>
    </xf>
    <xf numFmtId="0" fontId="0" fillId="3" borderId="0" xfId="0" applyFill="1">
      <alignment vertical="center"/>
    </xf>
    <xf numFmtId="0" fontId="2" fillId="4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0" fontId="6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7" fillId="0" borderId="0" xfId="0" applyFont="1" applyAlignment="1">
      <alignment horizontal="justify" vertical="center"/>
    </xf>
    <xf numFmtId="0" fontId="7" fillId="0" borderId="0" xfId="0" applyFont="1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2" fillId="0" borderId="0" xfId="0" applyNumberFormat="1" applyFont="1" applyFill="1" applyAlignment="1">
      <alignment vertical="center" wrapText="1"/>
    </xf>
    <xf numFmtId="177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8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3886200</xdr:colOff>
      <xdr:row>0</xdr:row>
      <xdr:rowOff>19050</xdr:rowOff>
    </xdr:from>
    <xdr:to>
      <xdr:col>17</xdr:col>
      <xdr:colOff>5038725</xdr:colOff>
      <xdr:row>0</xdr:row>
      <xdr:rowOff>304800</xdr:rowOff>
    </xdr:to>
    <xdr:sp macro="[0]!Sheet2.NameReplace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4955500" y="19050"/>
          <a:ext cx="1152525" cy="285750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名前 置換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2"/>
  <sheetViews>
    <sheetView workbookViewId="0">
      <selection activeCell="A2" sqref="A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5" width="10.664062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12.33203125" bestFit="1" customWidth="1"/>
  </cols>
  <sheetData>
    <row r="1" spans="1:15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39</v>
      </c>
      <c r="O1" s="4" t="s">
        <v>40</v>
      </c>
    </row>
    <row r="2" spans="1:15" ht="18" x14ac:dyDescent="0.2">
      <c r="A2" s="8" t="s">
        <v>75</v>
      </c>
      <c r="B2" s="2">
        <v>2</v>
      </c>
      <c r="C2" s="2">
        <v>1</v>
      </c>
      <c r="D2" s="2" t="s">
        <v>36</v>
      </c>
      <c r="E2" s="2" t="str">
        <f>REPLACE(A2,B2,C2,D2)</f>
        <v>1日(木曜 イリヤ</v>
      </c>
      <c r="F2" s="2">
        <v>5</v>
      </c>
      <c r="G2" s="2">
        <v>1</v>
      </c>
      <c r="H2" s="2" t="s">
        <v>37</v>
      </c>
      <c r="I2" s="2" t="str">
        <f>REPLACE(E2,F2,G2,H2)</f>
        <v>1日(木)&lt;/td&gt;&lt;td&gt; イリヤ</v>
      </c>
      <c r="J2" s="2">
        <v>4</v>
      </c>
      <c r="K2" s="2">
        <v>1</v>
      </c>
      <c r="L2" s="2" t="s">
        <v>37</v>
      </c>
      <c r="M2" s="2" t="str">
        <f>MID(I2,J2,K2)</f>
        <v>木</v>
      </c>
      <c r="N2" s="2" t="str">
        <f t="shared" ref="N2:N11" si="0">IF(OR(M2="土", M2="日"), "&lt;tr class='weekend'&gt;&lt;td&gt;"&amp;I2, "&lt;tr&gt;&lt;td&gt;"&amp;I2)</f>
        <v>&lt;tr&gt;&lt;td&gt;1日(木)&lt;/td&gt;&lt;td&gt; イリヤ</v>
      </c>
      <c r="O2" t="str">
        <f t="shared" ref="O2:O11" si="1">IF(M2="日", N2&amp;"&lt;span class='event_font'&gt;&amp;nbsp&amp;nbspセット料金半額DAY!&lt;/span&gt;&lt;/td&gt;&lt;/tr&gt;",N2&amp;"&lt;/td&gt;&lt;/tr&gt;")</f>
        <v>&lt;tr&gt;&lt;td&gt;1日(木)&lt;/td&gt;&lt;td&gt; イリヤ&lt;/td&gt;&lt;/tr&gt;</v>
      </c>
    </row>
    <row r="3" spans="1:15" ht="18" x14ac:dyDescent="0.2">
      <c r="A3" s="8" t="s">
        <v>76</v>
      </c>
      <c r="B3" s="2">
        <v>2</v>
      </c>
      <c r="C3" s="2">
        <v>1</v>
      </c>
      <c r="D3" s="2" t="s">
        <v>36</v>
      </c>
      <c r="E3" s="2" t="str">
        <f t="shared" ref="E3:E10" si="2">REPLACE(A3,B3,C3,D3)</f>
        <v>2日(金曜 美咲</v>
      </c>
      <c r="F3" s="2">
        <v>5</v>
      </c>
      <c r="G3" s="2">
        <v>1</v>
      </c>
      <c r="H3" s="2" t="s">
        <v>37</v>
      </c>
      <c r="I3" s="2" t="str">
        <f t="shared" ref="I3:I10" si="3">REPLACE(E3,F3,G3,H3)</f>
        <v>2日(金)&lt;/td&gt;&lt;td&gt; 美咲</v>
      </c>
      <c r="J3" s="2">
        <v>4</v>
      </c>
      <c r="K3" s="2">
        <v>1</v>
      </c>
      <c r="L3" s="2" t="s">
        <v>37</v>
      </c>
      <c r="M3" s="2" t="str">
        <f t="shared" ref="M3:M31" si="4">MID(I3,J3,K3)</f>
        <v>金</v>
      </c>
      <c r="N3" s="2" t="str">
        <f t="shared" si="0"/>
        <v>&lt;tr&gt;&lt;td&gt;2日(金)&lt;/td&gt;&lt;td&gt; 美咲</v>
      </c>
      <c r="O3" t="str">
        <f t="shared" si="1"/>
        <v>&lt;tr&gt;&lt;td&gt;2日(金)&lt;/td&gt;&lt;td&gt; 美咲&lt;/td&gt;&lt;/tr&gt;</v>
      </c>
    </row>
    <row r="4" spans="1:15" ht="18" x14ac:dyDescent="0.2">
      <c r="A4" s="8" t="s">
        <v>77</v>
      </c>
      <c r="B4" s="2">
        <v>2</v>
      </c>
      <c r="C4" s="2">
        <v>1</v>
      </c>
      <c r="D4" s="2" t="s">
        <v>36</v>
      </c>
      <c r="E4" s="2" t="str">
        <f t="shared" si="2"/>
        <v>3日(土曜 美咲、イリヤ</v>
      </c>
      <c r="F4" s="2">
        <v>5</v>
      </c>
      <c r="G4" s="2">
        <v>1</v>
      </c>
      <c r="H4" s="2" t="s">
        <v>37</v>
      </c>
      <c r="I4" s="2" t="str">
        <f t="shared" si="3"/>
        <v>3日(土)&lt;/td&gt;&lt;td&gt; 美咲、イリヤ</v>
      </c>
      <c r="J4" s="2">
        <v>4</v>
      </c>
      <c r="K4" s="2">
        <v>1</v>
      </c>
      <c r="L4" s="2" t="s">
        <v>37</v>
      </c>
      <c r="M4" s="2" t="str">
        <f t="shared" si="4"/>
        <v>土</v>
      </c>
      <c r="N4" s="2" t="str">
        <f t="shared" si="0"/>
        <v>&lt;tr class='weekend'&gt;&lt;td&gt;3日(土)&lt;/td&gt;&lt;td&gt; 美咲、イリヤ</v>
      </c>
      <c r="O4" t="str">
        <f t="shared" si="1"/>
        <v>&lt;tr class='weekend'&gt;&lt;td&gt;3日(土)&lt;/td&gt;&lt;td&gt; 美咲、イリヤ&lt;/td&gt;&lt;/tr&gt;</v>
      </c>
    </row>
    <row r="5" spans="1:15" ht="18" x14ac:dyDescent="0.2">
      <c r="A5" s="8" t="s">
        <v>78</v>
      </c>
      <c r="B5" s="2">
        <v>2</v>
      </c>
      <c r="C5" s="2">
        <v>1</v>
      </c>
      <c r="D5" s="2" t="s">
        <v>36</v>
      </c>
      <c r="E5" s="2" t="str">
        <f t="shared" si="2"/>
        <v>4日(日曜 柘榴</v>
      </c>
      <c r="F5" s="2">
        <v>5</v>
      </c>
      <c r="G5" s="2">
        <v>1</v>
      </c>
      <c r="H5" s="2" t="s">
        <v>37</v>
      </c>
      <c r="I5" s="2" t="str">
        <f t="shared" si="3"/>
        <v>4日(日)&lt;/td&gt;&lt;td&gt; 柘榴</v>
      </c>
      <c r="J5" s="2">
        <v>4</v>
      </c>
      <c r="K5" s="2">
        <v>1</v>
      </c>
      <c r="L5" s="2" t="s">
        <v>37</v>
      </c>
      <c r="M5" s="2" t="str">
        <f t="shared" si="4"/>
        <v>日</v>
      </c>
      <c r="N5" s="2" t="str">
        <f t="shared" si="0"/>
        <v>&lt;tr class='weekend'&gt;&lt;td&gt;4日(日)&lt;/td&gt;&lt;td&gt; 柘榴</v>
      </c>
      <c r="O5" t="str">
        <f t="shared" si="1"/>
        <v>&lt;tr class='weekend'&gt;&lt;td&gt;4日(日)&lt;/td&gt;&lt;td&gt; 柘榴&lt;span class='event_font'&gt;&amp;nbsp&amp;nbspセット料金半額DAY!&lt;/span&gt;&lt;/td&gt;&lt;/tr&gt;</v>
      </c>
    </row>
    <row r="6" spans="1:15" ht="18" x14ac:dyDescent="0.2">
      <c r="A6" s="9" t="s">
        <v>79</v>
      </c>
      <c r="B6" s="2">
        <v>2</v>
      </c>
      <c r="C6" s="2">
        <v>1</v>
      </c>
      <c r="D6" s="2" t="s">
        <v>36</v>
      </c>
      <c r="E6" s="2" t="str">
        <f t="shared" si="2"/>
        <v>5日(月曜 カーマ</v>
      </c>
      <c r="F6" s="2">
        <v>5</v>
      </c>
      <c r="G6" s="2">
        <v>1</v>
      </c>
      <c r="H6" s="2" t="s">
        <v>37</v>
      </c>
      <c r="I6" s="2" t="str">
        <f t="shared" si="3"/>
        <v>5日(月)&lt;/td&gt;&lt;td&gt; カーマ</v>
      </c>
      <c r="J6" s="2">
        <v>4</v>
      </c>
      <c r="K6" s="2">
        <v>1</v>
      </c>
      <c r="L6" s="2" t="s">
        <v>37</v>
      </c>
      <c r="M6" s="2" t="str">
        <f t="shared" si="4"/>
        <v>月</v>
      </c>
      <c r="N6" s="2" t="str">
        <f t="shared" si="0"/>
        <v>&lt;tr&gt;&lt;td&gt;5日(月)&lt;/td&gt;&lt;td&gt; カーマ</v>
      </c>
      <c r="O6" t="str">
        <f t="shared" si="1"/>
        <v>&lt;tr&gt;&lt;td&gt;5日(月)&lt;/td&gt;&lt;td&gt; カーマ&lt;/td&gt;&lt;/tr&gt;</v>
      </c>
    </row>
    <row r="7" spans="1:15" ht="18" x14ac:dyDescent="0.2">
      <c r="A7" s="9" t="s">
        <v>80</v>
      </c>
      <c r="B7" s="2">
        <v>2</v>
      </c>
      <c r="C7" s="2">
        <v>1</v>
      </c>
      <c r="D7" s="2" t="s">
        <v>36</v>
      </c>
      <c r="E7" s="2" t="str">
        <f t="shared" si="2"/>
        <v>6日(火曜 柘榴</v>
      </c>
      <c r="F7" s="2">
        <v>5</v>
      </c>
      <c r="G7" s="2">
        <v>1</v>
      </c>
      <c r="H7" s="2" t="s">
        <v>37</v>
      </c>
      <c r="I7" s="2" t="str">
        <f t="shared" si="3"/>
        <v>6日(火)&lt;/td&gt;&lt;td&gt; 柘榴</v>
      </c>
      <c r="J7" s="2">
        <v>4</v>
      </c>
      <c r="K7" s="2">
        <v>1</v>
      </c>
      <c r="L7" s="2" t="s">
        <v>37</v>
      </c>
      <c r="M7" s="2" t="str">
        <f t="shared" si="4"/>
        <v>火</v>
      </c>
      <c r="N7" s="2" t="str">
        <f t="shared" si="0"/>
        <v>&lt;tr&gt;&lt;td&gt;6日(火)&lt;/td&gt;&lt;td&gt; 柘榴</v>
      </c>
      <c r="O7" t="str">
        <f t="shared" si="1"/>
        <v>&lt;tr&gt;&lt;td&gt;6日(火)&lt;/td&gt;&lt;td&gt; 柘榴&lt;/td&gt;&lt;/tr&gt;</v>
      </c>
    </row>
    <row r="8" spans="1:15" ht="18" x14ac:dyDescent="0.2">
      <c r="A8" s="9" t="s">
        <v>81</v>
      </c>
      <c r="B8" s="2">
        <v>2</v>
      </c>
      <c r="C8" s="2">
        <v>1</v>
      </c>
      <c r="D8" s="2" t="s">
        <v>36</v>
      </c>
      <c r="E8" s="2" t="str">
        <f t="shared" si="2"/>
        <v>7日(水曜 未定</v>
      </c>
      <c r="F8" s="2">
        <v>5</v>
      </c>
      <c r="G8" s="2">
        <v>1</v>
      </c>
      <c r="H8" s="2" t="s">
        <v>37</v>
      </c>
      <c r="I8" s="2" t="str">
        <f t="shared" si="3"/>
        <v>7日(水)&lt;/td&gt;&lt;td&gt; 未定</v>
      </c>
      <c r="J8" s="2">
        <v>4</v>
      </c>
      <c r="K8" s="2">
        <v>1</v>
      </c>
      <c r="L8" s="2" t="s">
        <v>37</v>
      </c>
      <c r="M8" s="2" t="str">
        <f t="shared" si="4"/>
        <v>水</v>
      </c>
      <c r="N8" s="2" t="str">
        <f t="shared" si="0"/>
        <v>&lt;tr&gt;&lt;td&gt;7日(水)&lt;/td&gt;&lt;td&gt; 未定</v>
      </c>
      <c r="O8" t="str">
        <f t="shared" si="1"/>
        <v>&lt;tr&gt;&lt;td&gt;7日(水)&lt;/td&gt;&lt;td&gt; 未定&lt;/td&gt;&lt;/tr&gt;</v>
      </c>
    </row>
    <row r="9" spans="1:15" ht="18" x14ac:dyDescent="0.2">
      <c r="A9" s="9" t="s">
        <v>82</v>
      </c>
      <c r="B9" s="2">
        <v>2</v>
      </c>
      <c r="C9" s="2">
        <v>1</v>
      </c>
      <c r="D9" s="2" t="s">
        <v>36</v>
      </c>
      <c r="E9" s="2" t="str">
        <f t="shared" si="2"/>
        <v>8日(木曜 イリヤ</v>
      </c>
      <c r="F9" s="2">
        <v>5</v>
      </c>
      <c r="G9" s="2">
        <v>1</v>
      </c>
      <c r="H9" s="2" t="s">
        <v>37</v>
      </c>
      <c r="I9" s="2" t="str">
        <f t="shared" si="3"/>
        <v>8日(木)&lt;/td&gt;&lt;td&gt; イリヤ</v>
      </c>
      <c r="J9" s="2">
        <v>4</v>
      </c>
      <c r="K9" s="2">
        <v>1</v>
      </c>
      <c r="L9" s="2" t="s">
        <v>37</v>
      </c>
      <c r="M9" s="2" t="str">
        <f t="shared" si="4"/>
        <v>木</v>
      </c>
      <c r="N9" s="2" t="str">
        <f t="shared" si="0"/>
        <v>&lt;tr&gt;&lt;td&gt;8日(木)&lt;/td&gt;&lt;td&gt; イリヤ</v>
      </c>
      <c r="O9" t="str">
        <f t="shared" si="1"/>
        <v>&lt;tr&gt;&lt;td&gt;8日(木)&lt;/td&gt;&lt;td&gt; イリヤ&lt;/td&gt;&lt;/tr&gt;</v>
      </c>
    </row>
    <row r="10" spans="1:15" ht="18" x14ac:dyDescent="0.2">
      <c r="A10" s="9" t="s">
        <v>83</v>
      </c>
      <c r="B10" s="2">
        <v>2</v>
      </c>
      <c r="C10" s="2">
        <v>1</v>
      </c>
      <c r="D10" s="2" t="s">
        <v>36</v>
      </c>
      <c r="E10" s="2" t="str">
        <f t="shared" si="2"/>
        <v>9日(金曜 カーマ</v>
      </c>
      <c r="F10" s="2">
        <v>5</v>
      </c>
      <c r="G10" s="2">
        <v>1</v>
      </c>
      <c r="H10" s="2" t="s">
        <v>37</v>
      </c>
      <c r="I10" s="2" t="str">
        <f t="shared" si="3"/>
        <v>9日(金)&lt;/td&gt;&lt;td&gt; カーマ</v>
      </c>
      <c r="J10" s="2">
        <v>4</v>
      </c>
      <c r="K10" s="2">
        <v>1</v>
      </c>
      <c r="L10" s="2" t="s">
        <v>37</v>
      </c>
      <c r="M10" s="2" t="str">
        <f t="shared" si="4"/>
        <v>金</v>
      </c>
      <c r="N10" s="2" t="str">
        <f t="shared" si="0"/>
        <v>&lt;tr&gt;&lt;td&gt;9日(金)&lt;/td&gt;&lt;td&gt; カーマ</v>
      </c>
      <c r="O10" t="str">
        <f t="shared" si="1"/>
        <v>&lt;tr&gt;&lt;td&gt;9日(金)&lt;/td&gt;&lt;td&gt; カーマ&lt;/td&gt;&lt;/tr&gt;</v>
      </c>
    </row>
    <row r="11" spans="1:15" ht="18" x14ac:dyDescent="0.2">
      <c r="A11" s="9" t="s">
        <v>84</v>
      </c>
      <c r="B11" s="2">
        <v>3</v>
      </c>
      <c r="C11" s="2">
        <v>1</v>
      </c>
      <c r="D11" s="2" t="s">
        <v>36</v>
      </c>
      <c r="E11" s="2" t="str">
        <f>REPLACE(A11,B11,C11,D11)</f>
        <v>10日(土曜 淀川花火の為休業</v>
      </c>
      <c r="F11" s="2">
        <v>6</v>
      </c>
      <c r="G11" s="2">
        <v>1</v>
      </c>
      <c r="H11" s="2" t="s">
        <v>37</v>
      </c>
      <c r="I11" s="2" t="str">
        <f>REPLACE(E11,F11,G11,H11)</f>
        <v>10日(土)&lt;/td&gt;&lt;td&gt; 淀川花火の為休業</v>
      </c>
      <c r="J11" s="2">
        <v>5</v>
      </c>
      <c r="K11" s="2">
        <v>1</v>
      </c>
      <c r="L11" s="2" t="s">
        <v>37</v>
      </c>
      <c r="M11" s="2" t="str">
        <f t="shared" si="4"/>
        <v>土</v>
      </c>
      <c r="N11" s="2" t="str">
        <f t="shared" si="0"/>
        <v>&lt;tr class='weekend'&gt;&lt;td&gt;10日(土)&lt;/td&gt;&lt;td&gt; 淀川花火の為休業</v>
      </c>
      <c r="O11" t="str">
        <f t="shared" si="1"/>
        <v>&lt;tr class='weekend'&gt;&lt;td&gt;10日(土)&lt;/td&gt;&lt;td&gt; 淀川花火の為休業&lt;/td&gt;&lt;/tr&gt;</v>
      </c>
    </row>
    <row r="12" spans="1:15" ht="18" x14ac:dyDescent="0.2">
      <c r="A12" s="9" t="s">
        <v>85</v>
      </c>
      <c r="B12" s="2">
        <v>3</v>
      </c>
      <c r="C12" s="2">
        <v>1</v>
      </c>
      <c r="D12" s="2" t="s">
        <v>36</v>
      </c>
      <c r="E12" s="2" t="str">
        <f t="shared" ref="E12:E31" si="5">REPLACE(A12,B12,C12,D12)</f>
        <v>11日(日曜 カーマ</v>
      </c>
      <c r="F12" s="2">
        <v>6</v>
      </c>
      <c r="G12" s="2">
        <v>1</v>
      </c>
      <c r="H12" s="2" t="s">
        <v>37</v>
      </c>
      <c r="I12" s="2" t="str">
        <f t="shared" ref="I12:I31" si="6">REPLACE(E12,F12,G12,H12)</f>
        <v>11日(日)&lt;/td&gt;&lt;td&gt; カーマ</v>
      </c>
      <c r="J12" s="2">
        <v>5</v>
      </c>
      <c r="K12" s="2">
        <v>1</v>
      </c>
      <c r="L12" s="2" t="s">
        <v>37</v>
      </c>
      <c r="M12" s="2" t="str">
        <f t="shared" si="4"/>
        <v>日</v>
      </c>
      <c r="N12" s="2" t="str">
        <f>IF(OR(M12="土", M12="日"), "&lt;tr class='weekend'&gt;&lt;td&gt;"&amp;I12, "&lt;tr&gt;&lt;td&gt;"&amp;I12)</f>
        <v>&lt;tr class='weekend'&gt;&lt;td&gt;11日(日)&lt;/td&gt;&lt;td&gt; カーマ</v>
      </c>
      <c r="O12" t="str">
        <f>IF(M12="日", N12&amp;"&lt;span class='event_font'&gt;&amp;nbsp&amp;nbspセット料金半額DAY!&lt;/span&gt;&lt;/td&gt;&lt;/tr&gt;",N12&amp;"&lt;/td&gt;&lt;/tr&gt;")</f>
        <v>&lt;tr class='weekend'&gt;&lt;td&gt;11日(日)&lt;/td&gt;&lt;td&gt; カーマ&lt;span class='event_font'&gt;&amp;nbsp&amp;nbspセット料金半額DAY!&lt;/span&gt;&lt;/td&gt;&lt;/tr&gt;</v>
      </c>
    </row>
    <row r="13" spans="1:15" ht="18" x14ac:dyDescent="0.2">
      <c r="A13" s="9" t="s">
        <v>86</v>
      </c>
      <c r="B13" s="2">
        <v>3</v>
      </c>
      <c r="C13" s="2">
        <v>1</v>
      </c>
      <c r="D13" s="2" t="s">
        <v>36</v>
      </c>
      <c r="E13" s="2" t="str">
        <f t="shared" si="5"/>
        <v>12日(月曜 カナ</v>
      </c>
      <c r="F13" s="2">
        <v>6</v>
      </c>
      <c r="G13" s="2">
        <v>1</v>
      </c>
      <c r="H13" s="2" t="s">
        <v>37</v>
      </c>
      <c r="I13" s="2" t="str">
        <f t="shared" si="6"/>
        <v>12日(月)&lt;/td&gt;&lt;td&gt; カナ</v>
      </c>
      <c r="J13" s="2">
        <v>5</v>
      </c>
      <c r="K13" s="2">
        <v>1</v>
      </c>
      <c r="L13" s="2" t="s">
        <v>37</v>
      </c>
      <c r="M13" s="2" t="str">
        <f t="shared" si="4"/>
        <v>月</v>
      </c>
      <c r="N13" s="2" t="str">
        <f t="shared" ref="N13:N31" si="7">IF(OR(M13="土", M13="日"), "&lt;tr class='weekend'&gt;&lt;td&gt;"&amp;I13, "&lt;tr&gt;&lt;td&gt;"&amp;I13)</f>
        <v>&lt;tr&gt;&lt;td&gt;12日(月)&lt;/td&gt;&lt;td&gt; カナ</v>
      </c>
      <c r="O13" t="str">
        <f t="shared" ref="O13:O32" si="8">IF(M13="日", N13&amp;"&lt;span class='event_font'&gt;&amp;nbsp&amp;nbspセット料金半額DAY!&lt;/span&gt;&lt;/td&gt;&lt;/tr&gt;",N13&amp;"&lt;/td&gt;&lt;/tr&gt;")</f>
        <v>&lt;tr&gt;&lt;td&gt;12日(月)&lt;/td&gt;&lt;td&gt; カナ&lt;/td&gt;&lt;/tr&gt;</v>
      </c>
    </row>
    <row r="14" spans="1:15" ht="18" x14ac:dyDescent="0.2">
      <c r="A14" s="9" t="s">
        <v>87</v>
      </c>
      <c r="B14" s="2">
        <v>3</v>
      </c>
      <c r="C14" s="2">
        <v>1</v>
      </c>
      <c r="D14" s="2" t="s">
        <v>36</v>
      </c>
      <c r="E14" s="2" t="str">
        <f t="shared" si="5"/>
        <v>13日(火曜 イリヤ</v>
      </c>
      <c r="F14" s="2">
        <v>6</v>
      </c>
      <c r="G14" s="2">
        <v>1</v>
      </c>
      <c r="H14" s="2" t="s">
        <v>37</v>
      </c>
      <c r="I14" s="2" t="str">
        <f t="shared" si="6"/>
        <v>13日(火)&lt;/td&gt;&lt;td&gt; イリヤ</v>
      </c>
      <c r="J14" s="2">
        <v>5</v>
      </c>
      <c r="K14" s="2">
        <v>1</v>
      </c>
      <c r="L14" s="2" t="s">
        <v>37</v>
      </c>
      <c r="M14" s="2" t="str">
        <f t="shared" si="4"/>
        <v>火</v>
      </c>
      <c r="N14" s="2" t="str">
        <f t="shared" si="7"/>
        <v>&lt;tr&gt;&lt;td&gt;13日(火)&lt;/td&gt;&lt;td&gt; イリヤ</v>
      </c>
      <c r="O14" t="str">
        <f t="shared" si="8"/>
        <v>&lt;tr&gt;&lt;td&gt;13日(火)&lt;/td&gt;&lt;td&gt; イリヤ&lt;/td&gt;&lt;/tr&gt;</v>
      </c>
    </row>
    <row r="15" spans="1:15" ht="18" x14ac:dyDescent="0.2">
      <c r="A15" s="9" t="s">
        <v>88</v>
      </c>
      <c r="B15" s="2">
        <v>3</v>
      </c>
      <c r="C15" s="2">
        <v>1</v>
      </c>
      <c r="D15" s="2" t="s">
        <v>36</v>
      </c>
      <c r="E15" s="2" t="str">
        <f t="shared" si="5"/>
        <v>14日(水曜  柘榴</v>
      </c>
      <c r="F15" s="2">
        <v>6</v>
      </c>
      <c r="G15" s="2">
        <v>1</v>
      </c>
      <c r="H15" s="2" t="s">
        <v>37</v>
      </c>
      <c r="I15" s="2" t="str">
        <f t="shared" si="6"/>
        <v>14日(水)&lt;/td&gt;&lt;td&gt;  柘榴</v>
      </c>
      <c r="J15" s="2">
        <v>5</v>
      </c>
      <c r="K15" s="2">
        <v>1</v>
      </c>
      <c r="L15" s="2" t="s">
        <v>37</v>
      </c>
      <c r="M15" s="2" t="str">
        <f t="shared" si="4"/>
        <v>水</v>
      </c>
      <c r="N15" s="2" t="str">
        <f t="shared" si="7"/>
        <v>&lt;tr&gt;&lt;td&gt;14日(水)&lt;/td&gt;&lt;td&gt;  柘榴</v>
      </c>
      <c r="O15" t="str">
        <f t="shared" si="8"/>
        <v>&lt;tr&gt;&lt;td&gt;14日(水)&lt;/td&gt;&lt;td&gt;  柘榴&lt;/td&gt;&lt;/tr&gt;</v>
      </c>
    </row>
    <row r="16" spans="1:15" ht="18" x14ac:dyDescent="0.2">
      <c r="A16" s="9" t="s">
        <v>89</v>
      </c>
      <c r="B16" s="2">
        <v>3</v>
      </c>
      <c r="C16" s="2">
        <v>1</v>
      </c>
      <c r="D16" s="2" t="s">
        <v>36</v>
      </c>
      <c r="E16" s="2" t="str">
        <f t="shared" si="5"/>
        <v>15日(木曜 カナ</v>
      </c>
      <c r="F16" s="2">
        <v>6</v>
      </c>
      <c r="G16" s="2">
        <v>1</v>
      </c>
      <c r="H16" s="2" t="s">
        <v>37</v>
      </c>
      <c r="I16" s="2" t="str">
        <f t="shared" si="6"/>
        <v>15日(木)&lt;/td&gt;&lt;td&gt; カナ</v>
      </c>
      <c r="J16" s="2">
        <v>5</v>
      </c>
      <c r="K16" s="2">
        <v>1</v>
      </c>
      <c r="L16" s="2" t="s">
        <v>37</v>
      </c>
      <c r="M16" s="2" t="str">
        <f t="shared" si="4"/>
        <v>木</v>
      </c>
      <c r="N16" s="2" t="str">
        <f t="shared" si="7"/>
        <v>&lt;tr&gt;&lt;td&gt;15日(木)&lt;/td&gt;&lt;td&gt; カナ</v>
      </c>
      <c r="O16" t="str">
        <f t="shared" si="8"/>
        <v>&lt;tr&gt;&lt;td&gt;15日(木)&lt;/td&gt;&lt;td&gt; カナ&lt;/td&gt;&lt;/tr&gt;</v>
      </c>
    </row>
    <row r="17" spans="1:15" ht="18" x14ac:dyDescent="0.2">
      <c r="A17" s="9" t="s">
        <v>90</v>
      </c>
      <c r="B17" s="2">
        <v>3</v>
      </c>
      <c r="C17" s="2">
        <v>1</v>
      </c>
      <c r="D17" s="2" t="s">
        <v>36</v>
      </c>
      <c r="E17" s="2" t="str">
        <f t="shared" si="5"/>
        <v>16日(金曜 ことみ</v>
      </c>
      <c r="F17" s="2">
        <v>6</v>
      </c>
      <c r="G17" s="2">
        <v>1</v>
      </c>
      <c r="H17" s="2" t="s">
        <v>37</v>
      </c>
      <c r="I17" s="2" t="str">
        <f t="shared" si="6"/>
        <v>16日(金)&lt;/td&gt;&lt;td&gt; ことみ</v>
      </c>
      <c r="J17" s="2">
        <v>5</v>
      </c>
      <c r="K17" s="2">
        <v>1</v>
      </c>
      <c r="L17" s="2" t="s">
        <v>37</v>
      </c>
      <c r="M17" s="2" t="str">
        <f t="shared" si="4"/>
        <v>金</v>
      </c>
      <c r="N17" s="2" t="str">
        <f t="shared" si="7"/>
        <v>&lt;tr&gt;&lt;td&gt;16日(金)&lt;/td&gt;&lt;td&gt; ことみ</v>
      </c>
      <c r="O17" t="str">
        <f t="shared" si="8"/>
        <v>&lt;tr&gt;&lt;td&gt;16日(金)&lt;/td&gt;&lt;td&gt; ことみ&lt;/td&gt;&lt;/tr&gt;</v>
      </c>
    </row>
    <row r="18" spans="1:15" ht="18" x14ac:dyDescent="0.2">
      <c r="A18" s="9" t="s">
        <v>91</v>
      </c>
      <c r="B18" s="2">
        <v>3</v>
      </c>
      <c r="C18" s="2">
        <v>1</v>
      </c>
      <c r="D18" s="2" t="s">
        <v>36</v>
      </c>
      <c r="E18" s="2" t="str">
        <f t="shared" si="5"/>
        <v>17日(土曜 美咲、柘榴</v>
      </c>
      <c r="F18" s="2">
        <v>6</v>
      </c>
      <c r="G18" s="2">
        <v>1</v>
      </c>
      <c r="H18" s="2" t="s">
        <v>37</v>
      </c>
      <c r="I18" s="2" t="str">
        <f t="shared" si="6"/>
        <v>17日(土)&lt;/td&gt;&lt;td&gt; 美咲、柘榴</v>
      </c>
      <c r="J18" s="2">
        <v>5</v>
      </c>
      <c r="K18" s="2">
        <v>1</v>
      </c>
      <c r="L18" s="2" t="s">
        <v>37</v>
      </c>
      <c r="M18" s="2" t="str">
        <f t="shared" si="4"/>
        <v>土</v>
      </c>
      <c r="N18" s="2" t="str">
        <f t="shared" si="7"/>
        <v>&lt;tr class='weekend'&gt;&lt;td&gt;17日(土)&lt;/td&gt;&lt;td&gt; 美咲、柘榴</v>
      </c>
      <c r="O18" t="str">
        <f t="shared" si="8"/>
        <v>&lt;tr class='weekend'&gt;&lt;td&gt;17日(土)&lt;/td&gt;&lt;td&gt; 美咲、柘榴&lt;/td&gt;&lt;/tr&gt;</v>
      </c>
    </row>
    <row r="19" spans="1:15" ht="18" x14ac:dyDescent="0.2">
      <c r="A19" s="9" t="s">
        <v>92</v>
      </c>
      <c r="B19" s="2">
        <v>3</v>
      </c>
      <c r="C19" s="2">
        <v>1</v>
      </c>
      <c r="D19" s="2" t="s">
        <v>36</v>
      </c>
      <c r="E19" s="2" t="str">
        <f t="shared" si="5"/>
        <v>18日(日曜 柘榴</v>
      </c>
      <c r="F19" s="2">
        <v>6</v>
      </c>
      <c r="G19" s="2">
        <v>1</v>
      </c>
      <c r="H19" s="2" t="s">
        <v>37</v>
      </c>
      <c r="I19" s="2" t="str">
        <f t="shared" si="6"/>
        <v>18日(日)&lt;/td&gt;&lt;td&gt; 柘榴</v>
      </c>
      <c r="J19" s="2">
        <v>5</v>
      </c>
      <c r="K19" s="2">
        <v>1</v>
      </c>
      <c r="L19" s="2" t="s">
        <v>37</v>
      </c>
      <c r="M19" s="2" t="str">
        <f t="shared" si="4"/>
        <v>日</v>
      </c>
      <c r="N19" s="2" t="str">
        <f t="shared" si="7"/>
        <v>&lt;tr class='weekend'&gt;&lt;td&gt;18日(日)&lt;/td&gt;&lt;td&gt; 柘榴</v>
      </c>
      <c r="O19" t="str">
        <f t="shared" si="8"/>
        <v>&lt;tr class='weekend'&gt;&lt;td&gt;18日(日)&lt;/td&gt;&lt;td&gt; 柘榴&lt;span class='event_font'&gt;&amp;nbsp&amp;nbspセット料金半額DAY!&lt;/span&gt;&lt;/td&gt;&lt;/tr&gt;</v>
      </c>
    </row>
    <row r="20" spans="1:15" ht="18" x14ac:dyDescent="0.2">
      <c r="A20" s="9" t="s">
        <v>93</v>
      </c>
      <c r="B20" s="2">
        <v>3</v>
      </c>
      <c r="C20" s="2">
        <v>1</v>
      </c>
      <c r="D20" s="2" t="s">
        <v>36</v>
      </c>
      <c r="E20" s="2" t="str">
        <f t="shared" si="5"/>
        <v>19日(月曜 カーマ</v>
      </c>
      <c r="F20" s="2">
        <v>6</v>
      </c>
      <c r="G20" s="2">
        <v>1</v>
      </c>
      <c r="H20" s="2" t="s">
        <v>37</v>
      </c>
      <c r="I20" s="2" t="str">
        <f t="shared" si="6"/>
        <v>19日(月)&lt;/td&gt;&lt;td&gt; カーマ</v>
      </c>
      <c r="J20" s="2">
        <v>5</v>
      </c>
      <c r="K20" s="2">
        <v>1</v>
      </c>
      <c r="L20" s="2" t="s">
        <v>37</v>
      </c>
      <c r="M20" s="2" t="str">
        <f t="shared" si="4"/>
        <v>月</v>
      </c>
      <c r="N20" s="2" t="str">
        <f t="shared" si="7"/>
        <v>&lt;tr&gt;&lt;td&gt;19日(月)&lt;/td&gt;&lt;td&gt; カーマ</v>
      </c>
      <c r="O20" t="str">
        <f t="shared" si="8"/>
        <v>&lt;tr&gt;&lt;td&gt;19日(月)&lt;/td&gt;&lt;td&gt; カーマ&lt;/td&gt;&lt;/tr&gt;</v>
      </c>
    </row>
    <row r="21" spans="1:15" ht="18" x14ac:dyDescent="0.2">
      <c r="A21" s="9" t="s">
        <v>94</v>
      </c>
      <c r="B21" s="2">
        <v>3</v>
      </c>
      <c r="C21" s="2">
        <v>1</v>
      </c>
      <c r="D21" s="2" t="s">
        <v>36</v>
      </c>
      <c r="E21" s="2" t="str">
        <f t="shared" si="5"/>
        <v>20日(火曜 カーマ</v>
      </c>
      <c r="F21" s="2">
        <v>6</v>
      </c>
      <c r="G21" s="2">
        <v>1</v>
      </c>
      <c r="H21" s="2" t="s">
        <v>37</v>
      </c>
      <c r="I21" s="2" t="str">
        <f t="shared" si="6"/>
        <v>20日(火)&lt;/td&gt;&lt;td&gt; カーマ</v>
      </c>
      <c r="J21" s="2">
        <v>5</v>
      </c>
      <c r="K21" s="2">
        <v>1</v>
      </c>
      <c r="L21" s="2" t="s">
        <v>37</v>
      </c>
      <c r="M21" s="2" t="str">
        <f t="shared" si="4"/>
        <v>火</v>
      </c>
      <c r="N21" s="2" t="str">
        <f t="shared" si="7"/>
        <v>&lt;tr&gt;&lt;td&gt;20日(火)&lt;/td&gt;&lt;td&gt; カーマ</v>
      </c>
      <c r="O21" t="str">
        <f t="shared" si="8"/>
        <v>&lt;tr&gt;&lt;td&gt;20日(火)&lt;/td&gt;&lt;td&gt; カーマ&lt;/td&gt;&lt;/tr&gt;</v>
      </c>
    </row>
    <row r="22" spans="1:15" ht="18" x14ac:dyDescent="0.2">
      <c r="A22" s="8" t="s">
        <v>95</v>
      </c>
      <c r="B22" s="2">
        <v>3</v>
      </c>
      <c r="C22" s="2">
        <v>1</v>
      </c>
      <c r="D22" s="2" t="s">
        <v>36</v>
      </c>
      <c r="E22" s="2" t="str">
        <f t="shared" si="5"/>
        <v>21日(水曜 柘榴</v>
      </c>
      <c r="F22" s="2">
        <v>6</v>
      </c>
      <c r="G22" s="2">
        <v>1</v>
      </c>
      <c r="H22" s="2" t="s">
        <v>37</v>
      </c>
      <c r="I22" s="2" t="str">
        <f t="shared" si="6"/>
        <v>21日(水)&lt;/td&gt;&lt;td&gt; 柘榴</v>
      </c>
      <c r="J22" s="2">
        <v>5</v>
      </c>
      <c r="K22" s="2">
        <v>1</v>
      </c>
      <c r="L22" s="2" t="s">
        <v>37</v>
      </c>
      <c r="M22" s="2" t="str">
        <f t="shared" si="4"/>
        <v>水</v>
      </c>
      <c r="N22" s="2" t="str">
        <f t="shared" si="7"/>
        <v>&lt;tr&gt;&lt;td&gt;21日(水)&lt;/td&gt;&lt;td&gt; 柘榴</v>
      </c>
      <c r="O22" t="str">
        <f t="shared" si="8"/>
        <v>&lt;tr&gt;&lt;td&gt;21日(水)&lt;/td&gt;&lt;td&gt; 柘榴&lt;/td&gt;&lt;/tr&gt;</v>
      </c>
    </row>
    <row r="23" spans="1:15" ht="18" x14ac:dyDescent="0.2">
      <c r="A23" s="8" t="s">
        <v>96</v>
      </c>
      <c r="B23" s="2">
        <v>3</v>
      </c>
      <c r="C23" s="2">
        <v>1</v>
      </c>
      <c r="D23" s="2" t="s">
        <v>36</v>
      </c>
      <c r="E23" s="2" t="str">
        <f t="shared" si="5"/>
        <v>22日(木曜 カーマ</v>
      </c>
      <c r="F23" s="2">
        <v>6</v>
      </c>
      <c r="G23" s="2">
        <v>1</v>
      </c>
      <c r="H23" s="2" t="s">
        <v>37</v>
      </c>
      <c r="I23" s="2" t="str">
        <f t="shared" si="6"/>
        <v>22日(木)&lt;/td&gt;&lt;td&gt; カーマ</v>
      </c>
      <c r="J23" s="2">
        <v>5</v>
      </c>
      <c r="K23" s="2">
        <v>1</v>
      </c>
      <c r="L23" s="2" t="s">
        <v>37</v>
      </c>
      <c r="M23" s="2" t="str">
        <f t="shared" si="4"/>
        <v>木</v>
      </c>
      <c r="N23" s="2" t="str">
        <f t="shared" si="7"/>
        <v>&lt;tr&gt;&lt;td&gt;22日(木)&lt;/td&gt;&lt;td&gt; カーマ</v>
      </c>
      <c r="O23" t="str">
        <f t="shared" si="8"/>
        <v>&lt;tr&gt;&lt;td&gt;22日(木)&lt;/td&gt;&lt;td&gt; カーマ&lt;/td&gt;&lt;/tr&gt;</v>
      </c>
    </row>
    <row r="24" spans="1:15" ht="18" x14ac:dyDescent="0.2">
      <c r="A24" s="8" t="s">
        <v>97</v>
      </c>
      <c r="B24" s="2">
        <v>3</v>
      </c>
      <c r="C24" s="2">
        <v>1</v>
      </c>
      <c r="D24" s="2" t="s">
        <v>36</v>
      </c>
      <c r="E24" s="2" t="str">
        <f t="shared" si="5"/>
        <v>23日(金曜 ことみ</v>
      </c>
      <c r="F24" s="2">
        <v>6</v>
      </c>
      <c r="G24" s="2">
        <v>1</v>
      </c>
      <c r="H24" s="2" t="s">
        <v>37</v>
      </c>
      <c r="I24" s="2" t="str">
        <f t="shared" si="6"/>
        <v>23日(金)&lt;/td&gt;&lt;td&gt; ことみ</v>
      </c>
      <c r="J24" s="2">
        <v>5</v>
      </c>
      <c r="K24" s="2">
        <v>1</v>
      </c>
      <c r="L24" s="2" t="s">
        <v>37</v>
      </c>
      <c r="M24" s="2" t="str">
        <f t="shared" si="4"/>
        <v>金</v>
      </c>
      <c r="N24" s="2" t="str">
        <f t="shared" si="7"/>
        <v>&lt;tr&gt;&lt;td&gt;23日(金)&lt;/td&gt;&lt;td&gt; ことみ</v>
      </c>
      <c r="O24" t="str">
        <f t="shared" si="8"/>
        <v>&lt;tr&gt;&lt;td&gt;23日(金)&lt;/td&gt;&lt;td&gt; ことみ&lt;/td&gt;&lt;/tr&gt;</v>
      </c>
    </row>
    <row r="25" spans="1:15" ht="18" x14ac:dyDescent="0.2">
      <c r="A25" s="8" t="s">
        <v>98</v>
      </c>
      <c r="B25" s="2">
        <v>3</v>
      </c>
      <c r="C25" s="2">
        <v>1</v>
      </c>
      <c r="D25" s="2" t="s">
        <v>36</v>
      </c>
      <c r="E25" s="2" t="str">
        <f t="shared" si="5"/>
        <v>24日(土曜 イリヤ、新人ミカ</v>
      </c>
      <c r="F25" s="2">
        <v>6</v>
      </c>
      <c r="G25" s="2">
        <v>1</v>
      </c>
      <c r="H25" s="2" t="s">
        <v>37</v>
      </c>
      <c r="I25" s="2" t="str">
        <f t="shared" si="6"/>
        <v>24日(土)&lt;/td&gt;&lt;td&gt; イリヤ、新人ミカ</v>
      </c>
      <c r="J25" s="2">
        <v>5</v>
      </c>
      <c r="K25" s="2">
        <v>1</v>
      </c>
      <c r="L25" s="2" t="s">
        <v>37</v>
      </c>
      <c r="M25" s="2" t="str">
        <f t="shared" si="4"/>
        <v>土</v>
      </c>
      <c r="N25" s="2" t="str">
        <f t="shared" si="7"/>
        <v>&lt;tr class='weekend'&gt;&lt;td&gt;24日(土)&lt;/td&gt;&lt;td&gt; イリヤ、新人ミカ</v>
      </c>
      <c r="O25" t="str">
        <f t="shared" si="8"/>
        <v>&lt;tr class='weekend'&gt;&lt;td&gt;24日(土)&lt;/td&gt;&lt;td&gt; イリヤ、新人ミカ&lt;/td&gt;&lt;/tr&gt;</v>
      </c>
    </row>
    <row r="26" spans="1:15" ht="18" x14ac:dyDescent="0.2">
      <c r="A26" s="8" t="s">
        <v>99</v>
      </c>
      <c r="B26" s="2">
        <v>3</v>
      </c>
      <c r="C26" s="2">
        <v>1</v>
      </c>
      <c r="D26" s="2" t="s">
        <v>36</v>
      </c>
      <c r="E26" s="2" t="str">
        <f t="shared" si="5"/>
        <v>25日(日曜 柘榴</v>
      </c>
      <c r="F26" s="2">
        <v>6</v>
      </c>
      <c r="G26" s="2">
        <v>1</v>
      </c>
      <c r="H26" s="2" t="s">
        <v>37</v>
      </c>
      <c r="I26" s="2" t="str">
        <f t="shared" si="6"/>
        <v>25日(日)&lt;/td&gt;&lt;td&gt; 柘榴</v>
      </c>
      <c r="J26" s="2">
        <v>5</v>
      </c>
      <c r="K26" s="2">
        <v>1</v>
      </c>
      <c r="L26" s="2" t="s">
        <v>37</v>
      </c>
      <c r="M26" s="2" t="str">
        <f t="shared" si="4"/>
        <v>日</v>
      </c>
      <c r="N26" s="2" t="str">
        <f t="shared" si="7"/>
        <v>&lt;tr class='weekend'&gt;&lt;td&gt;25日(日)&lt;/td&gt;&lt;td&gt; 柘榴</v>
      </c>
      <c r="O26" t="str">
        <f t="shared" si="8"/>
        <v>&lt;tr class='weekend'&gt;&lt;td&gt;25日(日)&lt;/td&gt;&lt;td&gt; 柘榴&lt;span class='event_font'&gt;&amp;nbsp&amp;nbspセット料金半額DAY!&lt;/span&gt;&lt;/td&gt;&lt;/tr&gt;</v>
      </c>
    </row>
    <row r="27" spans="1:15" ht="18" x14ac:dyDescent="0.2">
      <c r="A27" s="8" t="s">
        <v>100</v>
      </c>
      <c r="B27" s="2">
        <v>3</v>
      </c>
      <c r="C27" s="2">
        <v>1</v>
      </c>
      <c r="D27" s="2" t="s">
        <v>36</v>
      </c>
      <c r="E27" s="2" t="str">
        <f t="shared" si="5"/>
        <v>26日(月曜 未定</v>
      </c>
      <c r="F27" s="2">
        <v>6</v>
      </c>
      <c r="G27" s="2">
        <v>1</v>
      </c>
      <c r="H27" s="2" t="s">
        <v>37</v>
      </c>
      <c r="I27" s="2" t="str">
        <f t="shared" si="6"/>
        <v>26日(月)&lt;/td&gt;&lt;td&gt; 未定</v>
      </c>
      <c r="J27" s="2">
        <v>5</v>
      </c>
      <c r="K27" s="2">
        <v>1</v>
      </c>
      <c r="L27" s="2" t="s">
        <v>37</v>
      </c>
      <c r="M27" s="2" t="str">
        <f t="shared" si="4"/>
        <v>月</v>
      </c>
      <c r="N27" s="2" t="str">
        <f t="shared" si="7"/>
        <v>&lt;tr&gt;&lt;td&gt;26日(月)&lt;/td&gt;&lt;td&gt; 未定</v>
      </c>
      <c r="O27" t="str">
        <f t="shared" si="8"/>
        <v>&lt;tr&gt;&lt;td&gt;26日(月)&lt;/td&gt;&lt;td&gt; 未定&lt;/td&gt;&lt;/tr&gt;</v>
      </c>
    </row>
    <row r="28" spans="1:15" ht="18" x14ac:dyDescent="0.2">
      <c r="A28" s="8" t="s">
        <v>101</v>
      </c>
      <c r="B28" s="2">
        <v>3</v>
      </c>
      <c r="C28" s="2">
        <v>1</v>
      </c>
      <c r="D28" s="2" t="s">
        <v>36</v>
      </c>
      <c r="E28" s="2" t="str">
        <f t="shared" si="5"/>
        <v>27日(火曜 カーマ</v>
      </c>
      <c r="F28" s="2">
        <v>6</v>
      </c>
      <c r="G28" s="2">
        <v>1</v>
      </c>
      <c r="H28" s="2" t="s">
        <v>37</v>
      </c>
      <c r="I28" s="2" t="str">
        <f t="shared" si="6"/>
        <v>27日(火)&lt;/td&gt;&lt;td&gt; カーマ</v>
      </c>
      <c r="J28" s="2">
        <v>5</v>
      </c>
      <c r="K28" s="2">
        <v>1</v>
      </c>
      <c r="L28" s="2" t="s">
        <v>37</v>
      </c>
      <c r="M28" s="2" t="str">
        <f t="shared" si="4"/>
        <v>火</v>
      </c>
      <c r="N28" s="2" t="str">
        <f t="shared" si="7"/>
        <v>&lt;tr&gt;&lt;td&gt;27日(火)&lt;/td&gt;&lt;td&gt; カーマ</v>
      </c>
      <c r="O28" t="str">
        <f t="shared" si="8"/>
        <v>&lt;tr&gt;&lt;td&gt;27日(火)&lt;/td&gt;&lt;td&gt; カーマ&lt;/td&gt;&lt;/tr&gt;</v>
      </c>
    </row>
    <row r="29" spans="1:15" ht="18" x14ac:dyDescent="0.2">
      <c r="A29" s="8" t="s">
        <v>102</v>
      </c>
      <c r="B29" s="2">
        <v>3</v>
      </c>
      <c r="C29" s="2">
        <v>1</v>
      </c>
      <c r="D29" s="2" t="s">
        <v>36</v>
      </c>
      <c r="E29" s="2" t="str">
        <f t="shared" si="5"/>
        <v>28日(水曜 柘榴</v>
      </c>
      <c r="F29" s="2">
        <v>6</v>
      </c>
      <c r="G29" s="2">
        <v>1</v>
      </c>
      <c r="H29" s="2" t="s">
        <v>37</v>
      </c>
      <c r="I29" s="2" t="str">
        <f t="shared" si="6"/>
        <v>28日(水)&lt;/td&gt;&lt;td&gt; 柘榴</v>
      </c>
      <c r="J29" s="2">
        <v>5</v>
      </c>
      <c r="K29" s="2">
        <v>1</v>
      </c>
      <c r="L29" s="2" t="s">
        <v>37</v>
      </c>
      <c r="M29" s="2" t="str">
        <f t="shared" si="4"/>
        <v>水</v>
      </c>
      <c r="N29" s="2" t="str">
        <f t="shared" si="7"/>
        <v>&lt;tr&gt;&lt;td&gt;28日(水)&lt;/td&gt;&lt;td&gt; 柘榴</v>
      </c>
      <c r="O29" t="str">
        <f t="shared" si="8"/>
        <v>&lt;tr&gt;&lt;td&gt;28日(水)&lt;/td&gt;&lt;td&gt; 柘榴&lt;/td&gt;&lt;/tr&gt;</v>
      </c>
    </row>
    <row r="30" spans="1:15" ht="18" x14ac:dyDescent="0.2">
      <c r="A30" s="8" t="s">
        <v>103</v>
      </c>
      <c r="B30" s="2">
        <v>3</v>
      </c>
      <c r="C30" s="2">
        <v>1</v>
      </c>
      <c r="D30" s="2" t="s">
        <v>36</v>
      </c>
      <c r="E30" s="2" t="str">
        <f t="shared" si="5"/>
        <v>29日(木曜 カーマ</v>
      </c>
      <c r="F30" s="2">
        <v>6</v>
      </c>
      <c r="G30" s="2">
        <v>1</v>
      </c>
      <c r="H30" s="2" t="s">
        <v>37</v>
      </c>
      <c r="I30" s="2" t="str">
        <f t="shared" si="6"/>
        <v>29日(木)&lt;/td&gt;&lt;td&gt; カーマ</v>
      </c>
      <c r="J30" s="2">
        <v>5</v>
      </c>
      <c r="K30" s="2">
        <v>1</v>
      </c>
      <c r="L30" s="2" t="s">
        <v>37</v>
      </c>
      <c r="M30" s="2" t="str">
        <f t="shared" si="4"/>
        <v>木</v>
      </c>
      <c r="N30" s="2" t="str">
        <f t="shared" si="7"/>
        <v>&lt;tr&gt;&lt;td&gt;29日(木)&lt;/td&gt;&lt;td&gt; カーマ</v>
      </c>
      <c r="O30" t="str">
        <f t="shared" si="8"/>
        <v>&lt;tr&gt;&lt;td&gt;29日(木)&lt;/td&gt;&lt;td&gt; カーマ&lt;/td&gt;&lt;/tr&gt;</v>
      </c>
    </row>
    <row r="31" spans="1:15" ht="18" x14ac:dyDescent="0.2">
      <c r="A31" s="8" t="s">
        <v>104</v>
      </c>
      <c r="B31" s="2">
        <v>3</v>
      </c>
      <c r="C31" s="2">
        <v>1</v>
      </c>
      <c r="D31" s="2" t="s">
        <v>36</v>
      </c>
      <c r="E31" s="2" t="str">
        <f t="shared" si="5"/>
        <v>30日(金曜 柘榴</v>
      </c>
      <c r="F31" s="2">
        <v>6</v>
      </c>
      <c r="G31" s="2">
        <v>1</v>
      </c>
      <c r="H31" s="2" t="s">
        <v>37</v>
      </c>
      <c r="I31" s="2" t="str">
        <f t="shared" si="6"/>
        <v>30日(金)&lt;/td&gt;&lt;td&gt; 柘榴</v>
      </c>
      <c r="J31" s="2">
        <v>5</v>
      </c>
      <c r="K31" s="2">
        <v>1</v>
      </c>
      <c r="L31" s="2" t="s">
        <v>37</v>
      </c>
      <c r="M31" s="2" t="str">
        <f t="shared" si="4"/>
        <v>金</v>
      </c>
      <c r="N31" s="2" t="str">
        <f t="shared" si="7"/>
        <v>&lt;tr&gt;&lt;td&gt;30日(金)&lt;/td&gt;&lt;td&gt; 柘榴</v>
      </c>
      <c r="O31" t="str">
        <f t="shared" si="8"/>
        <v>&lt;tr&gt;&lt;td&gt;30日(金)&lt;/td&gt;&lt;td&gt; 柘榴&lt;/td&gt;&lt;/tr&gt;</v>
      </c>
    </row>
    <row r="32" spans="1:15" ht="18" x14ac:dyDescent="0.2">
      <c r="A32" s="8" t="s">
        <v>105</v>
      </c>
      <c r="B32" s="2">
        <v>3</v>
      </c>
      <c r="C32" s="2">
        <v>1</v>
      </c>
      <c r="D32" s="2" t="s">
        <v>36</v>
      </c>
      <c r="E32" s="2" t="str">
        <f>REPLACE(A32,B32,C32,D32)</f>
        <v>31日(土曜 美咲、カーマ</v>
      </c>
      <c r="F32" s="2">
        <v>6</v>
      </c>
      <c r="G32" s="2">
        <v>1</v>
      </c>
      <c r="H32" s="2" t="s">
        <v>37</v>
      </c>
      <c r="I32" s="2" t="str">
        <f>REPLACE(E32,F32,G32,H32)</f>
        <v>31日(土)&lt;/td&gt;&lt;td&gt; 美咲、カーマ</v>
      </c>
      <c r="J32" s="2">
        <v>5</v>
      </c>
      <c r="K32" s="2">
        <v>1</v>
      </c>
      <c r="L32" s="2" t="s">
        <v>37</v>
      </c>
      <c r="M32" s="2" t="str">
        <f>MID(I32,J32,K32)</f>
        <v>土</v>
      </c>
      <c r="N32" s="2" t="str">
        <f>IF(OR(M32="土", M32="日"), "&lt;tr class='weekend'&gt;&lt;td&gt;"&amp;I32, "&lt;tr&gt;&lt;td&gt;"&amp;I32)</f>
        <v>&lt;tr class='weekend'&gt;&lt;td&gt;31日(土)&lt;/td&gt;&lt;td&gt; 美咲、カーマ</v>
      </c>
      <c r="O32" t="str">
        <f t="shared" si="8"/>
        <v>&lt;tr class='weekend'&gt;&lt;td&gt;31日(土)&lt;/td&gt;&lt;td&gt; 美咲、カーマ&lt;/td&gt;&lt;/tr&gt;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671BF-C419-4229-9D20-498E8E980898}">
  <sheetPr codeName="Sheet3"/>
  <dimension ref="A1:R32"/>
  <sheetViews>
    <sheetView tabSelected="1" topLeftCell="F10" workbookViewId="0">
      <selection activeCell="P2" sqref="P2:P32"/>
    </sheetView>
  </sheetViews>
  <sheetFormatPr defaultRowHeight="13.2" x14ac:dyDescent="0.2"/>
  <cols>
    <col min="1" max="1" width="41.33203125" bestFit="1" customWidth="1"/>
    <col min="2" max="2" width="5.21875" style="2" customWidth="1"/>
    <col min="3" max="3" width="7.109375" style="2" customWidth="1"/>
    <col min="4" max="4" width="10.6640625" style="2" customWidth="1"/>
    <col min="5" max="5" width="20.21875" style="2" customWidth="1"/>
    <col min="6" max="6" width="5.21875" style="2" customWidth="1"/>
    <col min="7" max="7" width="7.109375" style="2" customWidth="1"/>
    <col min="8" max="9" width="10.6640625" style="2" customWidth="1"/>
    <col min="10" max="10" width="5.21875" style="2" customWidth="1"/>
    <col min="11" max="11" width="7.109375" style="2" customWidth="1"/>
    <col min="12" max="12" width="10.6640625" style="2" customWidth="1"/>
    <col min="13" max="13" width="4.109375" style="2" customWidth="1"/>
    <col min="14" max="14" width="12.6640625" style="2" customWidth="1"/>
    <col min="15" max="15" width="13.33203125" style="2" customWidth="1"/>
    <col min="16" max="16" width="112.33203125" bestFit="1" customWidth="1"/>
    <col min="17" max="17" width="8.44140625" style="13" customWidth="1"/>
  </cols>
  <sheetData>
    <row r="1" spans="1:18" x14ac:dyDescent="0.2">
      <c r="A1" s="3" t="s">
        <v>31</v>
      </c>
      <c r="B1" s="1" t="s">
        <v>33</v>
      </c>
      <c r="C1" s="1" t="s">
        <v>34</v>
      </c>
      <c r="D1" s="1" t="s">
        <v>35</v>
      </c>
      <c r="E1" s="1" t="s">
        <v>32</v>
      </c>
      <c r="F1" s="1" t="s">
        <v>33</v>
      </c>
      <c r="G1" s="1" t="s">
        <v>34</v>
      </c>
      <c r="H1" s="1" t="s">
        <v>35</v>
      </c>
      <c r="I1" s="1" t="s">
        <v>32</v>
      </c>
      <c r="J1" s="1" t="s">
        <v>33</v>
      </c>
      <c r="K1" s="1" t="s">
        <v>34</v>
      </c>
      <c r="L1" s="1" t="s">
        <v>35</v>
      </c>
      <c r="M1" s="1" t="s">
        <v>38</v>
      </c>
      <c r="N1" s="1" t="s">
        <v>106</v>
      </c>
      <c r="O1" s="1" t="s">
        <v>39</v>
      </c>
      <c r="P1" s="4" t="s">
        <v>40</v>
      </c>
      <c r="Q1" s="12"/>
    </row>
    <row r="2" spans="1:18" ht="18" x14ac:dyDescent="0.2">
      <c r="A2" s="8" t="s">
        <v>186</v>
      </c>
      <c r="B2" s="2">
        <v>1</v>
      </c>
      <c r="C2" s="2">
        <v>5</v>
      </c>
      <c r="D2" s="2" t="str">
        <f>MID(A2, 5, 1)&amp;"日"</f>
        <v>1日</v>
      </c>
      <c r="E2" s="2" t="str">
        <f>REPLACE(A2,B2,C2,D2)</f>
        <v xml:space="preserve">1日(月) </v>
      </c>
      <c r="F2" s="2">
        <v>5</v>
      </c>
      <c r="G2" s="2">
        <v>1</v>
      </c>
      <c r="H2" s="2" t="s">
        <v>37</v>
      </c>
      <c r="I2" s="2" t="str">
        <f>REPLACE(E2,F2,G2,H2)</f>
        <v xml:space="preserve">1日(月)&lt;/td&gt;&lt;td&gt; </v>
      </c>
      <c r="J2" s="2">
        <v>4</v>
      </c>
      <c r="K2" s="2">
        <v>1</v>
      </c>
      <c r="L2" s="2" t="s">
        <v>37</v>
      </c>
      <c r="M2" s="2" t="str">
        <f>MID(I2,J2,K2)</f>
        <v>月</v>
      </c>
      <c r="O2" s="2" t="str">
        <f t="shared" ref="O2:O11" si="0">IF(OR(M2="土", M2="日"), "&lt;tr class='weekend'&gt;&lt;td&gt;"&amp;I2, "&lt;tr&gt;&lt;td&gt;"&amp;I2)</f>
        <v xml:space="preserve">&lt;tr&gt;&lt;td&gt;1日(月)&lt;/td&gt;&lt;td&gt; </v>
      </c>
      <c r="P2" t="str">
        <f t="shared" ref="P2:P11" si="1">IF(M2="日", O2&amp;"&lt;span class='event_font'&gt;&amp;nbsp&amp;nbspセット料金半額DAY!&lt;/span&gt;&lt;/td&gt;&lt;/tr&gt;",O2&amp;"&lt;/td&gt;&lt;/tr&gt;")</f>
        <v>&lt;tr&gt;&lt;td&gt;1日(月)&lt;/td&gt;&lt;td&gt; &lt;/td&gt;&lt;/tr&gt;</v>
      </c>
      <c r="Q2" s="13">
        <f>ROW()-1</f>
        <v>1</v>
      </c>
      <c r="R2" t="s">
        <v>180</v>
      </c>
    </row>
    <row r="3" spans="1:18" ht="18" x14ac:dyDescent="0.2">
      <c r="A3" s="8" t="s">
        <v>187</v>
      </c>
      <c r="B3" s="2">
        <v>1</v>
      </c>
      <c r="C3" s="2">
        <v>5</v>
      </c>
      <c r="D3" s="2" t="str">
        <f t="shared" ref="D3:D10" si="2">MID(A3, 5, 1)&amp;"日"</f>
        <v>2日</v>
      </c>
      <c r="E3" s="2" t="str">
        <f t="shared" ref="E3:E32" si="3">REPLACE(A3,B3,C3,D3)</f>
        <v xml:space="preserve">2日(火) </v>
      </c>
      <c r="F3" s="2">
        <v>5</v>
      </c>
      <c r="G3" s="2">
        <v>1</v>
      </c>
      <c r="H3" s="2" t="s">
        <v>37</v>
      </c>
      <c r="I3" s="2" t="str">
        <f t="shared" ref="I3:I10" si="4">REPLACE(E3,F3,G3,H3)</f>
        <v xml:space="preserve">2日(火)&lt;/td&gt;&lt;td&gt; </v>
      </c>
      <c r="J3" s="2">
        <v>4</v>
      </c>
      <c r="K3" s="2">
        <v>1</v>
      </c>
      <c r="L3" s="2" t="s">
        <v>37</v>
      </c>
      <c r="M3" s="2" t="str">
        <f t="shared" ref="M3:M32" si="5">MID(I3,J3,K3)</f>
        <v>火</v>
      </c>
      <c r="O3" s="2" t="str">
        <f t="shared" si="0"/>
        <v xml:space="preserve">&lt;tr&gt;&lt;td&gt;2日(火)&lt;/td&gt;&lt;td&gt; </v>
      </c>
      <c r="P3" t="str">
        <f t="shared" si="1"/>
        <v>&lt;tr&gt;&lt;td&gt;2日(火)&lt;/td&gt;&lt;td&gt; &lt;/td&gt;&lt;/tr&gt;</v>
      </c>
      <c r="Q3" s="13">
        <f t="shared" ref="Q3:Q32" si="6">ROW()-1</f>
        <v>2</v>
      </c>
      <c r="R3" t="s">
        <v>142</v>
      </c>
    </row>
    <row r="4" spans="1:18" ht="18" x14ac:dyDescent="0.2">
      <c r="A4" s="8" t="s">
        <v>188</v>
      </c>
      <c r="B4" s="2">
        <v>1</v>
      </c>
      <c r="C4" s="2">
        <v>5</v>
      </c>
      <c r="D4" s="2" t="str">
        <f t="shared" si="2"/>
        <v>3日</v>
      </c>
      <c r="E4" s="2" t="str">
        <f t="shared" si="3"/>
        <v>3日(水) 柘榴</v>
      </c>
      <c r="F4" s="2">
        <v>5</v>
      </c>
      <c r="G4" s="2">
        <v>1</v>
      </c>
      <c r="H4" s="2" t="s">
        <v>37</v>
      </c>
      <c r="I4" s="2" t="str">
        <f t="shared" si="4"/>
        <v>3日(水)&lt;/td&gt;&lt;td&gt; 柘榴</v>
      </c>
      <c r="J4" s="2">
        <v>4</v>
      </c>
      <c r="K4" s="2">
        <v>1</v>
      </c>
      <c r="L4" s="2" t="s">
        <v>37</v>
      </c>
      <c r="M4" s="2" t="str">
        <f t="shared" si="5"/>
        <v>水</v>
      </c>
      <c r="O4" s="2" t="str">
        <f t="shared" si="0"/>
        <v>&lt;tr&gt;&lt;td&gt;3日(水)&lt;/td&gt;&lt;td&gt; 柘榴</v>
      </c>
      <c r="P4" t="str">
        <f t="shared" si="1"/>
        <v>&lt;tr&gt;&lt;td&gt;3日(水)&lt;/td&gt;&lt;td&gt; 柘榴&lt;/td&gt;&lt;/tr&gt;</v>
      </c>
      <c r="Q4" s="13">
        <f t="shared" si="6"/>
        <v>3</v>
      </c>
      <c r="R4" t="s">
        <v>143</v>
      </c>
    </row>
    <row r="5" spans="1:18" ht="18" x14ac:dyDescent="0.2">
      <c r="A5" s="8" t="s">
        <v>189</v>
      </c>
      <c r="B5" s="2">
        <v>1</v>
      </c>
      <c r="C5" s="2">
        <v>5</v>
      </c>
      <c r="D5" s="2" t="str">
        <f t="shared" si="2"/>
        <v>4日</v>
      </c>
      <c r="E5" s="2" t="str">
        <f t="shared" si="3"/>
        <v xml:space="preserve">4日(木) </v>
      </c>
      <c r="F5" s="2">
        <v>5</v>
      </c>
      <c r="G5" s="2">
        <v>1</v>
      </c>
      <c r="H5" s="2" t="s">
        <v>37</v>
      </c>
      <c r="I5" s="2" t="str">
        <f t="shared" si="4"/>
        <v xml:space="preserve">4日(木)&lt;/td&gt;&lt;td&gt; </v>
      </c>
      <c r="J5" s="2">
        <v>4</v>
      </c>
      <c r="K5" s="2">
        <v>1</v>
      </c>
      <c r="L5" s="2" t="s">
        <v>37</v>
      </c>
      <c r="M5" s="2" t="str">
        <f t="shared" si="5"/>
        <v>木</v>
      </c>
      <c r="O5" s="2" t="str">
        <f t="shared" si="0"/>
        <v xml:space="preserve">&lt;tr&gt;&lt;td&gt;4日(木)&lt;/td&gt;&lt;td&gt; </v>
      </c>
      <c r="P5" t="str">
        <f t="shared" si="1"/>
        <v>&lt;tr&gt;&lt;td&gt;4日(木)&lt;/td&gt;&lt;td&gt; &lt;/td&gt;&lt;/tr&gt;</v>
      </c>
      <c r="Q5" s="13">
        <f t="shared" si="6"/>
        <v>4</v>
      </c>
      <c r="R5" t="s">
        <v>144</v>
      </c>
    </row>
    <row r="6" spans="1:18" ht="18" x14ac:dyDescent="0.2">
      <c r="A6" s="8" t="s">
        <v>190</v>
      </c>
      <c r="B6" s="2">
        <v>1</v>
      </c>
      <c r="C6" s="2">
        <v>5</v>
      </c>
      <c r="D6" s="2" t="str">
        <f t="shared" si="2"/>
        <v>5日</v>
      </c>
      <c r="E6" s="2" t="str">
        <f t="shared" si="3"/>
        <v xml:space="preserve">5日(金) </v>
      </c>
      <c r="F6" s="2">
        <v>5</v>
      </c>
      <c r="G6" s="2">
        <v>1</v>
      </c>
      <c r="H6" s="2" t="s">
        <v>37</v>
      </c>
      <c r="I6" s="2" t="str">
        <f t="shared" si="4"/>
        <v xml:space="preserve">5日(金)&lt;/td&gt;&lt;td&gt; </v>
      </c>
      <c r="J6" s="2">
        <v>4</v>
      </c>
      <c r="K6" s="2">
        <v>1</v>
      </c>
      <c r="L6" s="2" t="s">
        <v>37</v>
      </c>
      <c r="M6" s="2" t="str">
        <f t="shared" si="5"/>
        <v>金</v>
      </c>
      <c r="O6" s="2" t="str">
        <f t="shared" si="0"/>
        <v xml:space="preserve">&lt;tr&gt;&lt;td&gt;5日(金)&lt;/td&gt;&lt;td&gt; </v>
      </c>
      <c r="P6" t="str">
        <f t="shared" si="1"/>
        <v>&lt;tr&gt;&lt;td&gt;5日(金)&lt;/td&gt;&lt;td&gt; &lt;/td&gt;&lt;/tr&gt;</v>
      </c>
      <c r="Q6" s="13">
        <f t="shared" si="6"/>
        <v>5</v>
      </c>
      <c r="R6" t="s">
        <v>145</v>
      </c>
    </row>
    <row r="7" spans="1:18" ht="18" x14ac:dyDescent="0.2">
      <c r="A7" s="8" t="s">
        <v>191</v>
      </c>
      <c r="B7" s="2">
        <v>1</v>
      </c>
      <c r="C7" s="2">
        <v>5</v>
      </c>
      <c r="D7" s="2" t="str">
        <f t="shared" si="2"/>
        <v>6日</v>
      </c>
      <c r="E7" s="2" t="str">
        <f t="shared" si="3"/>
        <v>6日(土) 柘榴</v>
      </c>
      <c r="F7" s="2">
        <v>5</v>
      </c>
      <c r="G7" s="2">
        <v>1</v>
      </c>
      <c r="H7" s="2" t="s">
        <v>37</v>
      </c>
      <c r="I7" s="2" t="str">
        <f t="shared" si="4"/>
        <v>6日(土)&lt;/td&gt;&lt;td&gt; 柘榴</v>
      </c>
      <c r="J7" s="2">
        <v>4</v>
      </c>
      <c r="K7" s="2">
        <v>1</v>
      </c>
      <c r="L7" s="2" t="s">
        <v>37</v>
      </c>
      <c r="M7" s="2" t="str">
        <f t="shared" si="5"/>
        <v>土</v>
      </c>
      <c r="O7" s="2" t="str">
        <f t="shared" si="0"/>
        <v>&lt;tr class='weekend'&gt;&lt;td&gt;6日(土)&lt;/td&gt;&lt;td&gt; 柘榴</v>
      </c>
      <c r="P7" t="str">
        <f t="shared" si="1"/>
        <v>&lt;tr class='weekend'&gt;&lt;td&gt;6日(土)&lt;/td&gt;&lt;td&gt; 柘榴&lt;/td&gt;&lt;/tr&gt;</v>
      </c>
      <c r="Q7" s="13">
        <f t="shared" si="6"/>
        <v>6</v>
      </c>
      <c r="R7" t="s">
        <v>146</v>
      </c>
    </row>
    <row r="8" spans="1:18" ht="18" x14ac:dyDescent="0.2">
      <c r="A8" s="8" t="s">
        <v>192</v>
      </c>
      <c r="B8" s="2">
        <v>1</v>
      </c>
      <c r="C8" s="2">
        <v>5</v>
      </c>
      <c r="D8" s="2" t="str">
        <f t="shared" si="2"/>
        <v>7日</v>
      </c>
      <c r="E8" s="2" t="str">
        <f t="shared" si="3"/>
        <v xml:space="preserve">7日(日) </v>
      </c>
      <c r="F8" s="2">
        <v>5</v>
      </c>
      <c r="G8" s="2">
        <v>1</v>
      </c>
      <c r="H8" s="2" t="s">
        <v>37</v>
      </c>
      <c r="I8" s="2" t="str">
        <f t="shared" si="4"/>
        <v xml:space="preserve">7日(日)&lt;/td&gt;&lt;td&gt; </v>
      </c>
      <c r="J8" s="2">
        <v>4</v>
      </c>
      <c r="K8" s="2">
        <v>1</v>
      </c>
      <c r="L8" s="2" t="s">
        <v>37</v>
      </c>
      <c r="M8" s="2" t="str">
        <f t="shared" si="5"/>
        <v>日</v>
      </c>
      <c r="O8" s="2" t="str">
        <f t="shared" si="0"/>
        <v xml:space="preserve">&lt;tr class='weekend'&gt;&lt;td&gt;7日(日)&lt;/td&gt;&lt;td&gt; </v>
      </c>
      <c r="P8" t="str">
        <f t="shared" si="1"/>
        <v>&lt;tr class='weekend'&gt;&lt;td&gt;7日(日)&lt;/td&gt;&lt;td&gt; &lt;span class='event_font'&gt;&amp;nbsp&amp;nbspセット料金半額DAY!&lt;/span&gt;&lt;/td&gt;&lt;/tr&gt;</v>
      </c>
      <c r="Q8" s="13">
        <f t="shared" si="6"/>
        <v>7</v>
      </c>
      <c r="R8" t="s">
        <v>107</v>
      </c>
    </row>
    <row r="9" spans="1:18" ht="18" x14ac:dyDescent="0.2">
      <c r="A9" s="8" t="s">
        <v>193</v>
      </c>
      <c r="B9" s="2">
        <v>1</v>
      </c>
      <c r="C9" s="2">
        <v>5</v>
      </c>
      <c r="D9" s="2" t="str">
        <f t="shared" si="2"/>
        <v>8日</v>
      </c>
      <c r="E9" s="2" t="str">
        <f t="shared" si="3"/>
        <v xml:space="preserve">8日(月) </v>
      </c>
      <c r="F9" s="2">
        <v>5</v>
      </c>
      <c r="G9" s="2">
        <v>1</v>
      </c>
      <c r="H9" s="2" t="s">
        <v>37</v>
      </c>
      <c r="I9" s="2" t="str">
        <f t="shared" si="4"/>
        <v xml:space="preserve">8日(月)&lt;/td&gt;&lt;td&gt; </v>
      </c>
      <c r="J9" s="2">
        <v>4</v>
      </c>
      <c r="K9" s="2">
        <v>1</v>
      </c>
      <c r="L9" s="2" t="s">
        <v>37</v>
      </c>
      <c r="M9" s="2" t="str">
        <f t="shared" si="5"/>
        <v>月</v>
      </c>
      <c r="O9" s="2" t="str">
        <f t="shared" si="0"/>
        <v xml:space="preserve">&lt;tr&gt;&lt;td&gt;8日(月)&lt;/td&gt;&lt;td&gt; </v>
      </c>
      <c r="P9" t="str">
        <f t="shared" si="1"/>
        <v>&lt;tr&gt;&lt;td&gt;8日(月)&lt;/td&gt;&lt;td&gt; &lt;/td&gt;&lt;/tr&gt;</v>
      </c>
      <c r="Q9" s="13">
        <f t="shared" si="6"/>
        <v>8</v>
      </c>
      <c r="R9" t="s">
        <v>141</v>
      </c>
    </row>
    <row r="10" spans="1:18" ht="18" x14ac:dyDescent="0.2">
      <c r="A10" s="8" t="s">
        <v>194</v>
      </c>
      <c r="B10" s="2">
        <v>1</v>
      </c>
      <c r="C10" s="2">
        <v>5</v>
      </c>
      <c r="D10" s="2" t="str">
        <f t="shared" si="2"/>
        <v>9日</v>
      </c>
      <c r="E10" s="2" t="str">
        <f t="shared" si="3"/>
        <v xml:space="preserve">9日(火) </v>
      </c>
      <c r="F10" s="2">
        <v>5</v>
      </c>
      <c r="G10" s="2">
        <v>1</v>
      </c>
      <c r="H10" s="2" t="s">
        <v>37</v>
      </c>
      <c r="I10" s="2" t="str">
        <f t="shared" si="4"/>
        <v xml:space="preserve">9日(火)&lt;/td&gt;&lt;td&gt; </v>
      </c>
      <c r="J10" s="2">
        <v>4</v>
      </c>
      <c r="K10" s="2">
        <v>1</v>
      </c>
      <c r="L10" s="2" t="s">
        <v>37</v>
      </c>
      <c r="M10" s="2" t="str">
        <f t="shared" si="5"/>
        <v>火</v>
      </c>
      <c r="O10" s="2" t="str">
        <f t="shared" si="0"/>
        <v xml:space="preserve">&lt;tr&gt;&lt;td&gt;9日(火)&lt;/td&gt;&lt;td&gt; </v>
      </c>
      <c r="P10" t="str">
        <f t="shared" si="1"/>
        <v>&lt;tr&gt;&lt;td&gt;9日(火)&lt;/td&gt;&lt;td&gt; &lt;/td&gt;&lt;/tr&gt;</v>
      </c>
      <c r="Q10" s="13">
        <f t="shared" si="6"/>
        <v>9</v>
      </c>
      <c r="R10" t="s">
        <v>142</v>
      </c>
    </row>
    <row r="11" spans="1:18" ht="18" x14ac:dyDescent="0.2">
      <c r="A11" s="8" t="s">
        <v>195</v>
      </c>
      <c r="B11" s="2">
        <v>1</v>
      </c>
      <c r="C11" s="2">
        <v>5</v>
      </c>
      <c r="D11" s="2" t="str">
        <f>MID(A11, 4, 2)&amp;"日"</f>
        <v>10日</v>
      </c>
      <c r="E11" s="2" t="str">
        <f t="shared" si="3"/>
        <v>10日(水) 柘榴</v>
      </c>
      <c r="F11" s="2">
        <v>6</v>
      </c>
      <c r="G11" s="2">
        <v>1</v>
      </c>
      <c r="H11" s="2" t="s">
        <v>37</v>
      </c>
      <c r="I11" s="2" t="str">
        <f>REPLACE(E11,F11,G11,H11)</f>
        <v>10日(水)&lt;/td&gt;&lt;td&gt; 柘榴</v>
      </c>
      <c r="J11" s="2">
        <v>5</v>
      </c>
      <c r="K11" s="2">
        <v>1</v>
      </c>
      <c r="L11" s="2" t="s">
        <v>37</v>
      </c>
      <c r="M11" s="2" t="str">
        <f t="shared" si="5"/>
        <v>水</v>
      </c>
      <c r="O11" s="2" t="str">
        <f t="shared" si="0"/>
        <v>&lt;tr&gt;&lt;td&gt;10日(水)&lt;/td&gt;&lt;td&gt; 柘榴</v>
      </c>
      <c r="P11" t="str">
        <f t="shared" si="1"/>
        <v>&lt;tr&gt;&lt;td&gt;10日(水)&lt;/td&gt;&lt;td&gt; 柘榴&lt;/td&gt;&lt;/tr&gt;</v>
      </c>
      <c r="Q11" s="13">
        <f t="shared" si="6"/>
        <v>10</v>
      </c>
      <c r="R11" t="s">
        <v>143</v>
      </c>
    </row>
    <row r="12" spans="1:18" ht="18" x14ac:dyDescent="0.2">
      <c r="A12" s="8" t="s">
        <v>196</v>
      </c>
      <c r="B12" s="2">
        <v>1</v>
      </c>
      <c r="C12" s="2">
        <v>5</v>
      </c>
      <c r="D12" s="2" t="str">
        <f t="shared" ref="D12:D32" si="7">MID(A12, 4, 2)&amp;"日"</f>
        <v>11日</v>
      </c>
      <c r="E12" s="2" t="str">
        <f t="shared" si="3"/>
        <v xml:space="preserve">11日(木) </v>
      </c>
      <c r="F12" s="2">
        <v>6</v>
      </c>
      <c r="G12" s="2">
        <v>1</v>
      </c>
      <c r="H12" s="2" t="s">
        <v>37</v>
      </c>
      <c r="I12" s="2" t="str">
        <f t="shared" ref="I12:I32" si="8">REPLACE(E12,F12,G12,H12)</f>
        <v xml:space="preserve">11日(木)&lt;/td&gt;&lt;td&gt; </v>
      </c>
      <c r="J12" s="2">
        <v>5</v>
      </c>
      <c r="K12" s="2">
        <v>1</v>
      </c>
      <c r="L12" s="2" t="s">
        <v>37</v>
      </c>
      <c r="M12" s="2" t="str">
        <f t="shared" si="5"/>
        <v>木</v>
      </c>
      <c r="O12" s="2" t="str">
        <f>IF(OR(M12="土", M12="日"), "&lt;tr class='weekend'&gt;&lt;td&gt;"&amp;I12, "&lt;tr&gt;&lt;td&gt;"&amp;I12)</f>
        <v xml:space="preserve">&lt;tr&gt;&lt;td&gt;11日(木)&lt;/td&gt;&lt;td&gt; </v>
      </c>
      <c r="P12" t="str">
        <f>IF(M12="日", O12&amp;"&lt;span class='event_font'&gt;&amp;nbsp&amp;nbspセット料金半額DAY!&lt;/span&gt;&lt;/td&gt;&lt;/tr&gt;",O12&amp;"&lt;/td&gt;&lt;/tr&gt;")</f>
        <v>&lt;tr&gt;&lt;td&gt;11日(木)&lt;/td&gt;&lt;td&gt; &lt;/td&gt;&lt;/tr&gt;</v>
      </c>
      <c r="Q12" s="13">
        <f t="shared" si="6"/>
        <v>11</v>
      </c>
      <c r="R12" t="s">
        <v>144</v>
      </c>
    </row>
    <row r="13" spans="1:18" ht="18" x14ac:dyDescent="0.2">
      <c r="A13" s="8" t="s">
        <v>197</v>
      </c>
      <c r="B13" s="2">
        <v>1</v>
      </c>
      <c r="C13" s="2">
        <v>5</v>
      </c>
      <c r="D13" s="2" t="str">
        <f t="shared" si="7"/>
        <v>12日</v>
      </c>
      <c r="E13" s="2" t="str">
        <f t="shared" si="3"/>
        <v>12日(金) 美咲</v>
      </c>
      <c r="F13" s="2">
        <v>6</v>
      </c>
      <c r="G13" s="2">
        <v>1</v>
      </c>
      <c r="H13" s="2" t="s">
        <v>37</v>
      </c>
      <c r="I13" s="2" t="str">
        <f t="shared" si="8"/>
        <v>12日(金)&lt;/td&gt;&lt;td&gt; 美咲</v>
      </c>
      <c r="J13" s="2">
        <v>5</v>
      </c>
      <c r="K13" s="2">
        <v>1</v>
      </c>
      <c r="L13" s="2" t="s">
        <v>37</v>
      </c>
      <c r="M13" s="2" t="str">
        <f t="shared" si="5"/>
        <v>金</v>
      </c>
      <c r="O13" s="2" t="str">
        <f t="shared" ref="O13:O32" si="9">IF(OR(M13="土", M13="日"), "&lt;tr class='weekend'&gt;&lt;td&gt;"&amp;I13, "&lt;tr&gt;&lt;td&gt;"&amp;I13)</f>
        <v>&lt;tr&gt;&lt;td&gt;12日(金)&lt;/td&gt;&lt;td&gt; 美咲</v>
      </c>
      <c r="P13" t="str">
        <f t="shared" ref="P13:P32" si="10">IF(M13="日", O13&amp;"&lt;span class='event_font'&gt;&amp;nbsp&amp;nbspセット料金半額DAY!&lt;/span&gt;&lt;/td&gt;&lt;/tr&gt;",O13&amp;"&lt;/td&gt;&lt;/tr&gt;")</f>
        <v>&lt;tr&gt;&lt;td&gt;12日(金)&lt;/td&gt;&lt;td&gt; 美咲&lt;/td&gt;&lt;/tr&gt;</v>
      </c>
      <c r="Q13" s="13">
        <f t="shared" si="6"/>
        <v>12</v>
      </c>
      <c r="R13" t="s">
        <v>145</v>
      </c>
    </row>
    <row r="14" spans="1:18" ht="18" x14ac:dyDescent="0.2">
      <c r="A14" s="8" t="s">
        <v>198</v>
      </c>
      <c r="B14" s="2">
        <v>1</v>
      </c>
      <c r="C14" s="2">
        <v>5</v>
      </c>
      <c r="D14" s="2" t="str">
        <f t="shared" si="7"/>
        <v>13日</v>
      </c>
      <c r="E14" s="2" t="str">
        <f t="shared" si="3"/>
        <v>13日(土) 美咲, イリヤ</v>
      </c>
      <c r="F14" s="2">
        <v>6</v>
      </c>
      <c r="G14" s="2">
        <v>1</v>
      </c>
      <c r="H14" s="2" t="s">
        <v>37</v>
      </c>
      <c r="I14" s="2" t="str">
        <f t="shared" si="8"/>
        <v>13日(土)&lt;/td&gt;&lt;td&gt; 美咲, イリヤ</v>
      </c>
      <c r="J14" s="2">
        <v>5</v>
      </c>
      <c r="K14" s="2">
        <v>1</v>
      </c>
      <c r="L14" s="2" t="s">
        <v>37</v>
      </c>
      <c r="M14" s="2" t="str">
        <f t="shared" si="5"/>
        <v>土</v>
      </c>
      <c r="O14" s="2" t="str">
        <f t="shared" si="9"/>
        <v>&lt;tr class='weekend'&gt;&lt;td&gt;13日(土)&lt;/td&gt;&lt;td&gt; 美咲, イリヤ</v>
      </c>
      <c r="P14" t="str">
        <f t="shared" si="10"/>
        <v>&lt;tr class='weekend'&gt;&lt;td&gt;13日(土)&lt;/td&gt;&lt;td&gt; 美咲, イリヤ&lt;/td&gt;&lt;/tr&gt;</v>
      </c>
      <c r="Q14" s="13">
        <f t="shared" si="6"/>
        <v>13</v>
      </c>
      <c r="R14" t="s">
        <v>146</v>
      </c>
    </row>
    <row r="15" spans="1:18" ht="18" x14ac:dyDescent="0.2">
      <c r="A15" s="8" t="s">
        <v>199</v>
      </c>
      <c r="B15" s="2">
        <v>1</v>
      </c>
      <c r="C15" s="2">
        <v>5</v>
      </c>
      <c r="D15" s="2" t="str">
        <f t="shared" si="7"/>
        <v>14日</v>
      </c>
      <c r="E15" s="2" t="str">
        <f t="shared" si="3"/>
        <v xml:space="preserve">14日(日) </v>
      </c>
      <c r="F15" s="2">
        <v>6</v>
      </c>
      <c r="G15" s="2">
        <v>1</v>
      </c>
      <c r="H15" s="2" t="s">
        <v>37</v>
      </c>
      <c r="I15" s="2" t="str">
        <f t="shared" si="8"/>
        <v xml:space="preserve">14日(日)&lt;/td&gt;&lt;td&gt; </v>
      </c>
      <c r="J15" s="2">
        <v>5</v>
      </c>
      <c r="K15" s="2">
        <v>1</v>
      </c>
      <c r="L15" s="2" t="s">
        <v>37</v>
      </c>
      <c r="M15" s="2" t="str">
        <f t="shared" si="5"/>
        <v>日</v>
      </c>
      <c r="O15" s="2" t="str">
        <f t="shared" si="9"/>
        <v xml:space="preserve">&lt;tr class='weekend'&gt;&lt;td&gt;14日(日)&lt;/td&gt;&lt;td&gt; </v>
      </c>
      <c r="P15" t="str">
        <f t="shared" si="10"/>
        <v>&lt;tr class='weekend'&gt;&lt;td&gt;14日(日)&lt;/td&gt;&lt;td&gt; &lt;span class='event_font'&gt;&amp;nbsp&amp;nbspセット料金半額DAY!&lt;/span&gt;&lt;/td&gt;&lt;/tr&gt;</v>
      </c>
      <c r="Q15" s="13">
        <f t="shared" si="6"/>
        <v>14</v>
      </c>
      <c r="R15" t="s">
        <v>107</v>
      </c>
    </row>
    <row r="16" spans="1:18" ht="18" x14ac:dyDescent="0.2">
      <c r="A16" s="8" t="s">
        <v>200</v>
      </c>
      <c r="B16" s="2">
        <v>1</v>
      </c>
      <c r="C16" s="2">
        <v>5</v>
      </c>
      <c r="D16" s="2" t="str">
        <f t="shared" si="7"/>
        <v>15日</v>
      </c>
      <c r="E16" s="2" t="str">
        <f t="shared" si="3"/>
        <v xml:space="preserve">15日(月) </v>
      </c>
      <c r="F16" s="2">
        <v>6</v>
      </c>
      <c r="G16" s="2">
        <v>1</v>
      </c>
      <c r="H16" s="2" t="s">
        <v>37</v>
      </c>
      <c r="I16" s="2" t="str">
        <f t="shared" si="8"/>
        <v xml:space="preserve">15日(月)&lt;/td&gt;&lt;td&gt; </v>
      </c>
      <c r="J16" s="2">
        <v>5</v>
      </c>
      <c r="K16" s="2">
        <v>1</v>
      </c>
      <c r="L16" s="2" t="s">
        <v>37</v>
      </c>
      <c r="M16" s="2" t="str">
        <f t="shared" si="5"/>
        <v>月</v>
      </c>
      <c r="O16" s="2" t="str">
        <f t="shared" si="9"/>
        <v xml:space="preserve">&lt;tr&gt;&lt;td&gt;15日(月)&lt;/td&gt;&lt;td&gt; </v>
      </c>
      <c r="P16" t="str">
        <f t="shared" si="10"/>
        <v>&lt;tr&gt;&lt;td&gt;15日(月)&lt;/td&gt;&lt;td&gt; &lt;/td&gt;&lt;/tr&gt;</v>
      </c>
      <c r="Q16" s="13">
        <f t="shared" si="6"/>
        <v>15</v>
      </c>
      <c r="R16" t="s">
        <v>141</v>
      </c>
    </row>
    <row r="17" spans="1:18" ht="18" x14ac:dyDescent="0.2">
      <c r="A17" s="8" t="s">
        <v>201</v>
      </c>
      <c r="B17" s="2">
        <v>1</v>
      </c>
      <c r="C17" s="2">
        <v>5</v>
      </c>
      <c r="D17" s="2" t="str">
        <f t="shared" si="7"/>
        <v>16日</v>
      </c>
      <c r="E17" s="2" t="str">
        <f t="shared" si="3"/>
        <v xml:space="preserve">16日(火) </v>
      </c>
      <c r="F17" s="2">
        <v>6</v>
      </c>
      <c r="G17" s="2">
        <v>1</v>
      </c>
      <c r="H17" s="2" t="s">
        <v>37</v>
      </c>
      <c r="I17" s="2" t="str">
        <f t="shared" si="8"/>
        <v xml:space="preserve">16日(火)&lt;/td&gt;&lt;td&gt; </v>
      </c>
      <c r="J17" s="2">
        <v>5</v>
      </c>
      <c r="K17" s="2">
        <v>1</v>
      </c>
      <c r="L17" s="2" t="s">
        <v>37</v>
      </c>
      <c r="M17" s="2" t="str">
        <f t="shared" si="5"/>
        <v>火</v>
      </c>
      <c r="O17" s="2" t="str">
        <f t="shared" si="9"/>
        <v xml:space="preserve">&lt;tr&gt;&lt;td&gt;16日(火)&lt;/td&gt;&lt;td&gt; </v>
      </c>
      <c r="P17" t="str">
        <f t="shared" si="10"/>
        <v>&lt;tr&gt;&lt;td&gt;16日(火)&lt;/td&gt;&lt;td&gt; &lt;/td&gt;&lt;/tr&gt;</v>
      </c>
      <c r="Q17" s="13">
        <f t="shared" si="6"/>
        <v>16</v>
      </c>
      <c r="R17" t="s">
        <v>142</v>
      </c>
    </row>
    <row r="18" spans="1:18" ht="18" x14ac:dyDescent="0.2">
      <c r="A18" s="8" t="s">
        <v>202</v>
      </c>
      <c r="B18" s="2">
        <v>1</v>
      </c>
      <c r="C18" s="2">
        <v>5</v>
      </c>
      <c r="D18" s="2" t="str">
        <f t="shared" si="7"/>
        <v>17日</v>
      </c>
      <c r="E18" s="2" t="str">
        <f t="shared" si="3"/>
        <v xml:space="preserve">17日(水) </v>
      </c>
      <c r="F18" s="2">
        <v>6</v>
      </c>
      <c r="G18" s="2">
        <v>1</v>
      </c>
      <c r="H18" s="2" t="s">
        <v>37</v>
      </c>
      <c r="I18" s="2" t="str">
        <f t="shared" si="8"/>
        <v xml:space="preserve">17日(水)&lt;/td&gt;&lt;td&gt; </v>
      </c>
      <c r="J18" s="2">
        <v>5</v>
      </c>
      <c r="K18" s="2">
        <v>1</v>
      </c>
      <c r="L18" s="2" t="s">
        <v>37</v>
      </c>
      <c r="M18" s="2" t="str">
        <f t="shared" si="5"/>
        <v>水</v>
      </c>
      <c r="O18" s="2" t="str">
        <f t="shared" si="9"/>
        <v xml:space="preserve">&lt;tr&gt;&lt;td&gt;17日(水)&lt;/td&gt;&lt;td&gt; </v>
      </c>
      <c r="P18" t="str">
        <f t="shared" si="10"/>
        <v>&lt;tr&gt;&lt;td&gt;17日(水)&lt;/td&gt;&lt;td&gt; &lt;/td&gt;&lt;/tr&gt;</v>
      </c>
      <c r="Q18" s="13">
        <f t="shared" si="6"/>
        <v>17</v>
      </c>
      <c r="R18" t="s">
        <v>143</v>
      </c>
    </row>
    <row r="19" spans="1:18" ht="18" x14ac:dyDescent="0.2">
      <c r="A19" s="8" t="s">
        <v>203</v>
      </c>
      <c r="B19" s="2">
        <v>1</v>
      </c>
      <c r="C19" s="2">
        <v>5</v>
      </c>
      <c r="D19" s="2" t="str">
        <f t="shared" si="7"/>
        <v>18日</v>
      </c>
      <c r="E19" s="2" t="str">
        <f t="shared" si="3"/>
        <v xml:space="preserve">18日(木) </v>
      </c>
      <c r="F19" s="2">
        <v>6</v>
      </c>
      <c r="G19" s="2">
        <v>1</v>
      </c>
      <c r="H19" s="2" t="s">
        <v>37</v>
      </c>
      <c r="I19" s="2" t="str">
        <f t="shared" si="8"/>
        <v xml:space="preserve">18日(木)&lt;/td&gt;&lt;td&gt; </v>
      </c>
      <c r="J19" s="2">
        <v>5</v>
      </c>
      <c r="K19" s="2">
        <v>1</v>
      </c>
      <c r="L19" s="2" t="s">
        <v>37</v>
      </c>
      <c r="M19" s="2" t="str">
        <f t="shared" si="5"/>
        <v>木</v>
      </c>
      <c r="O19" s="2" t="str">
        <f t="shared" si="9"/>
        <v xml:space="preserve">&lt;tr&gt;&lt;td&gt;18日(木)&lt;/td&gt;&lt;td&gt; </v>
      </c>
      <c r="P19" t="str">
        <f t="shared" si="10"/>
        <v>&lt;tr&gt;&lt;td&gt;18日(木)&lt;/td&gt;&lt;td&gt; &lt;/td&gt;&lt;/tr&gt;</v>
      </c>
      <c r="Q19" s="13">
        <f t="shared" si="6"/>
        <v>18</v>
      </c>
      <c r="R19" t="s">
        <v>144</v>
      </c>
    </row>
    <row r="20" spans="1:18" ht="18" x14ac:dyDescent="0.2">
      <c r="A20" s="8" t="s">
        <v>204</v>
      </c>
      <c r="B20" s="2">
        <v>1</v>
      </c>
      <c r="C20" s="2">
        <v>5</v>
      </c>
      <c r="D20" s="2" t="str">
        <f t="shared" si="7"/>
        <v>19日</v>
      </c>
      <c r="E20" s="2" t="str">
        <f t="shared" si="3"/>
        <v>19日(金) 美咲</v>
      </c>
      <c r="F20" s="2">
        <v>6</v>
      </c>
      <c r="G20" s="2">
        <v>1</v>
      </c>
      <c r="H20" s="2" t="s">
        <v>37</v>
      </c>
      <c r="I20" s="2" t="str">
        <f t="shared" si="8"/>
        <v>19日(金)&lt;/td&gt;&lt;td&gt; 美咲</v>
      </c>
      <c r="J20" s="2">
        <v>5</v>
      </c>
      <c r="K20" s="2">
        <v>1</v>
      </c>
      <c r="L20" s="2" t="s">
        <v>37</v>
      </c>
      <c r="M20" s="2" t="str">
        <f t="shared" si="5"/>
        <v>金</v>
      </c>
      <c r="O20" s="2" t="str">
        <f t="shared" si="9"/>
        <v>&lt;tr&gt;&lt;td&gt;19日(金)&lt;/td&gt;&lt;td&gt; 美咲</v>
      </c>
      <c r="P20" t="str">
        <f t="shared" si="10"/>
        <v>&lt;tr&gt;&lt;td&gt;19日(金)&lt;/td&gt;&lt;td&gt; 美咲&lt;/td&gt;&lt;/tr&gt;</v>
      </c>
      <c r="Q20" s="13">
        <f t="shared" si="6"/>
        <v>19</v>
      </c>
      <c r="R20" t="s">
        <v>145</v>
      </c>
    </row>
    <row r="21" spans="1:18" ht="18" x14ac:dyDescent="0.2">
      <c r="A21" s="8" t="s">
        <v>205</v>
      </c>
      <c r="B21" s="2">
        <v>1</v>
      </c>
      <c r="C21" s="2">
        <v>5</v>
      </c>
      <c r="D21" s="2" t="str">
        <f t="shared" si="7"/>
        <v>20日</v>
      </c>
      <c r="E21" s="2" t="str">
        <f t="shared" si="3"/>
        <v>20日(土) 美咲, 柘榴</v>
      </c>
      <c r="F21" s="2">
        <v>6</v>
      </c>
      <c r="G21" s="2">
        <v>1</v>
      </c>
      <c r="H21" s="2" t="s">
        <v>37</v>
      </c>
      <c r="I21" s="2" t="str">
        <f t="shared" si="8"/>
        <v>20日(土)&lt;/td&gt;&lt;td&gt; 美咲, 柘榴</v>
      </c>
      <c r="J21" s="2">
        <v>5</v>
      </c>
      <c r="K21" s="2">
        <v>1</v>
      </c>
      <c r="L21" s="2" t="s">
        <v>37</v>
      </c>
      <c r="M21" s="2" t="str">
        <f t="shared" si="5"/>
        <v>土</v>
      </c>
      <c r="O21" s="2" t="str">
        <f t="shared" si="9"/>
        <v>&lt;tr class='weekend'&gt;&lt;td&gt;20日(土)&lt;/td&gt;&lt;td&gt; 美咲, 柘榴</v>
      </c>
      <c r="P21" t="str">
        <f t="shared" si="10"/>
        <v>&lt;tr class='weekend'&gt;&lt;td&gt;20日(土)&lt;/td&gt;&lt;td&gt; 美咲, 柘榴&lt;/td&gt;&lt;/tr&gt;</v>
      </c>
      <c r="Q21" s="13">
        <f t="shared" si="6"/>
        <v>20</v>
      </c>
      <c r="R21" t="s">
        <v>146</v>
      </c>
    </row>
    <row r="22" spans="1:18" ht="18" x14ac:dyDescent="0.2">
      <c r="A22" s="8" t="s">
        <v>206</v>
      </c>
      <c r="B22" s="2">
        <v>1</v>
      </c>
      <c r="C22" s="2">
        <v>5</v>
      </c>
      <c r="D22" s="2" t="str">
        <f t="shared" si="7"/>
        <v>21日</v>
      </c>
      <c r="E22" s="2" t="str">
        <f t="shared" si="3"/>
        <v xml:space="preserve">21日(日) </v>
      </c>
      <c r="F22" s="2">
        <v>6</v>
      </c>
      <c r="G22" s="2">
        <v>1</v>
      </c>
      <c r="H22" s="2" t="s">
        <v>37</v>
      </c>
      <c r="I22" s="2" t="str">
        <f t="shared" si="8"/>
        <v xml:space="preserve">21日(日)&lt;/td&gt;&lt;td&gt; </v>
      </c>
      <c r="J22" s="2">
        <v>5</v>
      </c>
      <c r="K22" s="2">
        <v>1</v>
      </c>
      <c r="L22" s="2" t="s">
        <v>37</v>
      </c>
      <c r="M22" s="2" t="str">
        <f t="shared" si="5"/>
        <v>日</v>
      </c>
      <c r="O22" s="2" t="str">
        <f t="shared" si="9"/>
        <v xml:space="preserve">&lt;tr class='weekend'&gt;&lt;td&gt;21日(日)&lt;/td&gt;&lt;td&gt; </v>
      </c>
      <c r="P22" t="str">
        <f t="shared" si="10"/>
        <v>&lt;tr class='weekend'&gt;&lt;td&gt;21日(日)&lt;/td&gt;&lt;td&gt; &lt;span class='event_font'&gt;&amp;nbsp&amp;nbspセット料金半額DAY!&lt;/span&gt;&lt;/td&gt;&lt;/tr&gt;</v>
      </c>
      <c r="Q22" s="13">
        <f t="shared" si="6"/>
        <v>21</v>
      </c>
      <c r="R22" t="s">
        <v>107</v>
      </c>
    </row>
    <row r="23" spans="1:18" ht="18" x14ac:dyDescent="0.2">
      <c r="A23" s="8" t="s">
        <v>207</v>
      </c>
      <c r="B23" s="2">
        <v>1</v>
      </c>
      <c r="C23" s="2">
        <v>5</v>
      </c>
      <c r="D23" s="2" t="str">
        <f t="shared" si="7"/>
        <v>22日</v>
      </c>
      <c r="E23" s="2" t="str">
        <f t="shared" si="3"/>
        <v xml:space="preserve">22日(月) </v>
      </c>
      <c r="F23" s="2">
        <v>6</v>
      </c>
      <c r="G23" s="2">
        <v>1</v>
      </c>
      <c r="H23" s="2" t="s">
        <v>37</v>
      </c>
      <c r="I23" s="2" t="str">
        <f t="shared" si="8"/>
        <v xml:space="preserve">22日(月)&lt;/td&gt;&lt;td&gt; </v>
      </c>
      <c r="J23" s="2">
        <v>5</v>
      </c>
      <c r="K23" s="2">
        <v>1</v>
      </c>
      <c r="L23" s="2" t="s">
        <v>37</v>
      </c>
      <c r="M23" s="2" t="str">
        <f t="shared" si="5"/>
        <v>月</v>
      </c>
      <c r="O23" s="2" t="str">
        <f t="shared" si="9"/>
        <v xml:space="preserve">&lt;tr&gt;&lt;td&gt;22日(月)&lt;/td&gt;&lt;td&gt; </v>
      </c>
      <c r="P23" t="str">
        <f t="shared" si="10"/>
        <v>&lt;tr&gt;&lt;td&gt;22日(月)&lt;/td&gt;&lt;td&gt; &lt;/td&gt;&lt;/tr&gt;</v>
      </c>
      <c r="Q23" s="13">
        <f t="shared" si="6"/>
        <v>22</v>
      </c>
      <c r="R23" t="s">
        <v>141</v>
      </c>
    </row>
    <row r="24" spans="1:18" ht="18" x14ac:dyDescent="0.2">
      <c r="A24" s="8" t="s">
        <v>208</v>
      </c>
      <c r="B24" s="2">
        <v>1</v>
      </c>
      <c r="C24" s="2">
        <v>5</v>
      </c>
      <c r="D24" s="2" t="str">
        <f t="shared" si="7"/>
        <v>23日</v>
      </c>
      <c r="E24" s="2" t="str">
        <f t="shared" si="3"/>
        <v xml:space="preserve">23日(火) </v>
      </c>
      <c r="F24" s="2">
        <v>6</v>
      </c>
      <c r="G24" s="2">
        <v>1</v>
      </c>
      <c r="H24" s="2" t="s">
        <v>37</v>
      </c>
      <c r="I24" s="2" t="str">
        <f t="shared" si="8"/>
        <v xml:space="preserve">23日(火)&lt;/td&gt;&lt;td&gt; </v>
      </c>
      <c r="J24" s="2">
        <v>5</v>
      </c>
      <c r="K24" s="2">
        <v>1</v>
      </c>
      <c r="L24" s="2" t="s">
        <v>37</v>
      </c>
      <c r="M24" s="2" t="str">
        <f t="shared" si="5"/>
        <v>火</v>
      </c>
      <c r="O24" s="2" t="str">
        <f t="shared" si="9"/>
        <v xml:space="preserve">&lt;tr&gt;&lt;td&gt;23日(火)&lt;/td&gt;&lt;td&gt; </v>
      </c>
      <c r="P24" t="str">
        <f t="shared" si="10"/>
        <v>&lt;tr&gt;&lt;td&gt;23日(火)&lt;/td&gt;&lt;td&gt; &lt;/td&gt;&lt;/tr&gt;</v>
      </c>
      <c r="Q24" s="13">
        <f t="shared" si="6"/>
        <v>23</v>
      </c>
      <c r="R24" t="s">
        <v>142</v>
      </c>
    </row>
    <row r="25" spans="1:18" ht="18" x14ac:dyDescent="0.2">
      <c r="A25" s="8" t="s">
        <v>209</v>
      </c>
      <c r="B25" s="2">
        <v>1</v>
      </c>
      <c r="C25" s="2">
        <v>5</v>
      </c>
      <c r="D25" s="2" t="str">
        <f t="shared" si="7"/>
        <v>24日</v>
      </c>
      <c r="E25" s="2" t="str">
        <f t="shared" si="3"/>
        <v xml:space="preserve">24日(水) </v>
      </c>
      <c r="F25" s="2">
        <v>6</v>
      </c>
      <c r="G25" s="2">
        <v>1</v>
      </c>
      <c r="H25" s="2" t="s">
        <v>37</v>
      </c>
      <c r="I25" s="2" t="str">
        <f t="shared" si="8"/>
        <v xml:space="preserve">24日(水)&lt;/td&gt;&lt;td&gt; </v>
      </c>
      <c r="J25" s="2">
        <v>5</v>
      </c>
      <c r="K25" s="2">
        <v>1</v>
      </c>
      <c r="L25" s="2" t="s">
        <v>37</v>
      </c>
      <c r="M25" s="2" t="str">
        <f t="shared" si="5"/>
        <v>水</v>
      </c>
      <c r="O25" s="2" t="str">
        <f t="shared" si="9"/>
        <v xml:space="preserve">&lt;tr&gt;&lt;td&gt;24日(水)&lt;/td&gt;&lt;td&gt; </v>
      </c>
      <c r="P25" t="str">
        <f t="shared" si="10"/>
        <v>&lt;tr&gt;&lt;td&gt;24日(水)&lt;/td&gt;&lt;td&gt; &lt;/td&gt;&lt;/tr&gt;</v>
      </c>
      <c r="Q25" s="13">
        <f t="shared" si="6"/>
        <v>24</v>
      </c>
      <c r="R25" t="s">
        <v>143</v>
      </c>
    </row>
    <row r="26" spans="1:18" ht="18" x14ac:dyDescent="0.2">
      <c r="A26" s="8" t="s">
        <v>210</v>
      </c>
      <c r="B26" s="2">
        <v>1</v>
      </c>
      <c r="C26" s="2">
        <v>5</v>
      </c>
      <c r="D26" s="2" t="str">
        <f t="shared" si="7"/>
        <v>25日</v>
      </c>
      <c r="E26" s="2" t="str">
        <f t="shared" si="3"/>
        <v xml:space="preserve">25日(木) </v>
      </c>
      <c r="F26" s="2">
        <v>6</v>
      </c>
      <c r="G26" s="2">
        <v>1</v>
      </c>
      <c r="H26" s="2" t="s">
        <v>37</v>
      </c>
      <c r="I26" s="2" t="str">
        <f t="shared" si="8"/>
        <v xml:space="preserve">25日(木)&lt;/td&gt;&lt;td&gt; </v>
      </c>
      <c r="J26" s="2">
        <v>5</v>
      </c>
      <c r="K26" s="2">
        <v>1</v>
      </c>
      <c r="L26" s="2" t="s">
        <v>37</v>
      </c>
      <c r="M26" s="2" t="str">
        <f t="shared" si="5"/>
        <v>木</v>
      </c>
      <c r="O26" s="2" t="str">
        <f t="shared" si="9"/>
        <v xml:space="preserve">&lt;tr&gt;&lt;td&gt;25日(木)&lt;/td&gt;&lt;td&gt; </v>
      </c>
      <c r="P26" t="str">
        <f t="shared" si="10"/>
        <v>&lt;tr&gt;&lt;td&gt;25日(木)&lt;/td&gt;&lt;td&gt; &lt;/td&gt;&lt;/tr&gt;</v>
      </c>
      <c r="Q26" s="13">
        <f t="shared" si="6"/>
        <v>25</v>
      </c>
      <c r="R26" t="s">
        <v>144</v>
      </c>
    </row>
    <row r="27" spans="1:18" ht="18" x14ac:dyDescent="0.2">
      <c r="A27" s="8" t="s">
        <v>211</v>
      </c>
      <c r="B27" s="2">
        <v>1</v>
      </c>
      <c r="C27" s="2">
        <v>5</v>
      </c>
      <c r="D27" s="2" t="str">
        <f t="shared" si="7"/>
        <v>26日</v>
      </c>
      <c r="E27" s="2" t="str">
        <f t="shared" si="3"/>
        <v>26日(金) イリヤ</v>
      </c>
      <c r="F27" s="2">
        <v>6</v>
      </c>
      <c r="G27" s="2">
        <v>1</v>
      </c>
      <c r="H27" s="2" t="s">
        <v>37</v>
      </c>
      <c r="I27" s="2" t="str">
        <f t="shared" si="8"/>
        <v>26日(金)&lt;/td&gt;&lt;td&gt; イリヤ</v>
      </c>
      <c r="J27" s="2">
        <v>5</v>
      </c>
      <c r="K27" s="2">
        <v>1</v>
      </c>
      <c r="L27" s="2" t="s">
        <v>37</v>
      </c>
      <c r="M27" s="2" t="str">
        <f t="shared" si="5"/>
        <v>金</v>
      </c>
      <c r="O27" s="2" t="str">
        <f t="shared" si="9"/>
        <v>&lt;tr&gt;&lt;td&gt;26日(金)&lt;/td&gt;&lt;td&gt; イリヤ</v>
      </c>
      <c r="P27" t="str">
        <f t="shared" si="10"/>
        <v>&lt;tr&gt;&lt;td&gt;26日(金)&lt;/td&gt;&lt;td&gt; イリヤ&lt;/td&gt;&lt;/tr&gt;</v>
      </c>
      <c r="Q27" s="13">
        <f t="shared" si="6"/>
        <v>26</v>
      </c>
      <c r="R27" t="s">
        <v>145</v>
      </c>
    </row>
    <row r="28" spans="1:18" ht="18" x14ac:dyDescent="0.2">
      <c r="A28" s="8" t="s">
        <v>212</v>
      </c>
      <c r="B28" s="2">
        <v>1</v>
      </c>
      <c r="C28" s="2">
        <v>5</v>
      </c>
      <c r="D28" s="2" t="str">
        <f t="shared" si="7"/>
        <v>27日</v>
      </c>
      <c r="E28" s="2" t="str">
        <f t="shared" si="3"/>
        <v>27日(土) 柘榴</v>
      </c>
      <c r="F28" s="2">
        <v>6</v>
      </c>
      <c r="G28" s="2">
        <v>1</v>
      </c>
      <c r="H28" s="2" t="s">
        <v>37</v>
      </c>
      <c r="I28" s="2" t="str">
        <f t="shared" si="8"/>
        <v>27日(土)&lt;/td&gt;&lt;td&gt; 柘榴</v>
      </c>
      <c r="J28" s="2">
        <v>5</v>
      </c>
      <c r="K28" s="2">
        <v>1</v>
      </c>
      <c r="L28" s="2" t="s">
        <v>37</v>
      </c>
      <c r="M28" s="2" t="str">
        <f t="shared" si="5"/>
        <v>土</v>
      </c>
      <c r="O28" s="2" t="str">
        <f t="shared" si="9"/>
        <v>&lt;tr class='weekend'&gt;&lt;td&gt;27日(土)&lt;/td&gt;&lt;td&gt; 柘榴</v>
      </c>
      <c r="P28" t="str">
        <f t="shared" si="10"/>
        <v>&lt;tr class='weekend'&gt;&lt;td&gt;27日(土)&lt;/td&gt;&lt;td&gt; 柘榴&lt;/td&gt;&lt;/tr&gt;</v>
      </c>
      <c r="Q28" s="13">
        <f t="shared" si="6"/>
        <v>27</v>
      </c>
      <c r="R28" t="s">
        <v>146</v>
      </c>
    </row>
    <row r="29" spans="1:18" ht="18" x14ac:dyDescent="0.2">
      <c r="A29" s="8" t="s">
        <v>213</v>
      </c>
      <c r="B29" s="2">
        <v>1</v>
      </c>
      <c r="C29" s="2">
        <v>5</v>
      </c>
      <c r="D29" s="2" t="str">
        <f t="shared" si="7"/>
        <v>28日</v>
      </c>
      <c r="E29" s="2" t="str">
        <f t="shared" si="3"/>
        <v>28日(日) 柘榴</v>
      </c>
      <c r="F29" s="2">
        <v>6</v>
      </c>
      <c r="G29" s="2">
        <v>1</v>
      </c>
      <c r="H29" s="2" t="s">
        <v>37</v>
      </c>
      <c r="I29" s="2" t="str">
        <f t="shared" si="8"/>
        <v>28日(日)&lt;/td&gt;&lt;td&gt; 柘榴</v>
      </c>
      <c r="J29" s="2">
        <v>5</v>
      </c>
      <c r="K29" s="2">
        <v>1</v>
      </c>
      <c r="L29" s="2" t="s">
        <v>37</v>
      </c>
      <c r="M29" s="2" t="str">
        <f t="shared" si="5"/>
        <v>日</v>
      </c>
      <c r="O29" s="2" t="str">
        <f t="shared" si="9"/>
        <v>&lt;tr class='weekend'&gt;&lt;td&gt;28日(日)&lt;/td&gt;&lt;td&gt; 柘榴</v>
      </c>
      <c r="P29" t="str">
        <f t="shared" si="10"/>
        <v>&lt;tr class='weekend'&gt;&lt;td&gt;28日(日)&lt;/td&gt;&lt;td&gt; 柘榴&lt;span class='event_font'&gt;&amp;nbsp&amp;nbspセット料金半額DAY!&lt;/span&gt;&lt;/td&gt;&lt;/tr&gt;</v>
      </c>
      <c r="Q29" s="13">
        <f t="shared" si="6"/>
        <v>28</v>
      </c>
      <c r="R29" t="s">
        <v>107</v>
      </c>
    </row>
    <row r="30" spans="1:18" ht="18" x14ac:dyDescent="0.2">
      <c r="A30" s="8" t="s">
        <v>214</v>
      </c>
      <c r="B30" s="2">
        <v>1</v>
      </c>
      <c r="C30" s="2">
        <v>5</v>
      </c>
      <c r="D30" s="2" t="str">
        <f t="shared" si="7"/>
        <v>29日</v>
      </c>
      <c r="E30" s="2" t="str">
        <f t="shared" si="3"/>
        <v xml:space="preserve">29日(月) </v>
      </c>
      <c r="F30" s="2">
        <v>6</v>
      </c>
      <c r="G30" s="2">
        <v>1</v>
      </c>
      <c r="H30" s="2" t="s">
        <v>37</v>
      </c>
      <c r="I30" s="2" t="str">
        <f t="shared" si="8"/>
        <v xml:space="preserve">29日(月)&lt;/td&gt;&lt;td&gt; </v>
      </c>
      <c r="J30" s="2">
        <v>5</v>
      </c>
      <c r="K30" s="2">
        <v>1</v>
      </c>
      <c r="L30" s="2" t="s">
        <v>37</v>
      </c>
      <c r="M30" s="2" t="str">
        <f t="shared" si="5"/>
        <v>月</v>
      </c>
      <c r="O30" s="2" t="str">
        <f t="shared" si="9"/>
        <v xml:space="preserve">&lt;tr&gt;&lt;td&gt;29日(月)&lt;/td&gt;&lt;td&gt; </v>
      </c>
      <c r="P30" t="str">
        <f t="shared" si="10"/>
        <v>&lt;tr&gt;&lt;td&gt;29日(月)&lt;/td&gt;&lt;td&gt; &lt;/td&gt;&lt;/tr&gt;</v>
      </c>
      <c r="Q30" s="13">
        <f t="shared" si="6"/>
        <v>29</v>
      </c>
      <c r="R30" t="s">
        <v>141</v>
      </c>
    </row>
    <row r="31" spans="1:18" ht="18" x14ac:dyDescent="0.2">
      <c r="A31" s="8" t="s">
        <v>215</v>
      </c>
      <c r="B31" s="2">
        <v>1</v>
      </c>
      <c r="C31" s="2">
        <v>5</v>
      </c>
      <c r="D31" s="2" t="str">
        <f t="shared" si="7"/>
        <v>30日</v>
      </c>
      <c r="E31" s="2" t="str">
        <f t="shared" si="3"/>
        <v>30日(火)</v>
      </c>
      <c r="F31" s="2">
        <v>6</v>
      </c>
      <c r="G31" s="2">
        <v>1</v>
      </c>
      <c r="H31" s="2" t="s">
        <v>37</v>
      </c>
      <c r="I31" s="2" t="str">
        <f t="shared" si="8"/>
        <v>30日(火)&lt;/td&gt;&lt;td&gt;</v>
      </c>
      <c r="J31" s="2">
        <v>5</v>
      </c>
      <c r="K31" s="2">
        <v>1</v>
      </c>
      <c r="L31" s="2" t="s">
        <v>37</v>
      </c>
      <c r="M31" s="2" t="str">
        <f t="shared" si="5"/>
        <v>火</v>
      </c>
      <c r="O31" s="2" t="str">
        <f t="shared" si="9"/>
        <v>&lt;tr&gt;&lt;td&gt;30日(火)&lt;/td&gt;&lt;td&gt;</v>
      </c>
      <c r="P31" t="str">
        <f t="shared" si="10"/>
        <v>&lt;tr&gt;&lt;td&gt;30日(火)&lt;/td&gt;&lt;td&gt;&lt;/td&gt;&lt;/tr&gt;</v>
      </c>
      <c r="Q31" s="13">
        <f t="shared" si="6"/>
        <v>30</v>
      </c>
      <c r="R31" t="s">
        <v>142</v>
      </c>
    </row>
    <row r="32" spans="1:18" ht="18" x14ac:dyDescent="0.2">
      <c r="A32" s="8"/>
      <c r="B32" s="2">
        <v>1</v>
      </c>
      <c r="C32" s="2">
        <v>5</v>
      </c>
      <c r="D32" s="2" t="str">
        <f t="shared" si="7"/>
        <v>日</v>
      </c>
      <c r="E32" s="2" t="str">
        <f t="shared" si="3"/>
        <v>日</v>
      </c>
      <c r="F32" s="2">
        <v>6</v>
      </c>
      <c r="G32" s="2">
        <v>1</v>
      </c>
      <c r="H32" s="2" t="s">
        <v>37</v>
      </c>
      <c r="I32" s="2" t="str">
        <f t="shared" si="8"/>
        <v>日)&lt;/td&gt;&lt;td&gt;</v>
      </c>
      <c r="J32" s="2">
        <v>5</v>
      </c>
      <c r="K32" s="2">
        <v>1</v>
      </c>
      <c r="L32" s="2" t="s">
        <v>37</v>
      </c>
      <c r="M32" s="2" t="str">
        <f t="shared" si="5"/>
        <v>t</v>
      </c>
      <c r="O32" s="2" t="str">
        <f t="shared" si="9"/>
        <v>&lt;tr&gt;&lt;td&gt;日)&lt;/td&gt;&lt;td&gt;</v>
      </c>
      <c r="P32" t="str">
        <f t="shared" si="10"/>
        <v>&lt;tr&gt;&lt;td&gt;日)&lt;/td&gt;&lt;td&gt;&lt;/td&gt;&lt;/tr&gt;</v>
      </c>
      <c r="Q32" s="13">
        <f t="shared" si="6"/>
        <v>31</v>
      </c>
      <c r="R32" t="s">
        <v>143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A24-C246-4243-BD20-08FDDBDACF81}">
  <dimension ref="A1:E31"/>
  <sheetViews>
    <sheetView workbookViewId="0">
      <selection activeCell="D26" sqref="D26"/>
    </sheetView>
  </sheetViews>
  <sheetFormatPr defaultRowHeight="13.2" x14ac:dyDescent="0.2"/>
  <cols>
    <col min="4" max="4" width="8.88671875" style="11"/>
  </cols>
  <sheetData>
    <row r="1" spans="1:5" x14ac:dyDescent="0.2">
      <c r="A1" t="s">
        <v>149</v>
      </c>
      <c r="B1" t="s">
        <v>142</v>
      </c>
      <c r="C1" t="s">
        <v>148</v>
      </c>
      <c r="E1" t="str">
        <f>"&lt;tr class='weekend'&gt;&lt;td&gt;"&amp;A1&amp;"("&amp;B1&amp;")&lt;/td&gt;&lt;td&gt; - &lt;/td&gt;&lt;/tr&gt;"</f>
        <v>&lt;tr class='weekend'&gt;&lt;td&gt;1日(水)&lt;/td&gt;&lt;td&gt; - &lt;/td&gt;&lt;/tr&gt;</v>
      </c>
    </row>
    <row r="2" spans="1:5" x14ac:dyDescent="0.2">
      <c r="A2" t="s">
        <v>150</v>
      </c>
      <c r="B2" t="s">
        <v>143</v>
      </c>
      <c r="C2" t="s">
        <v>148</v>
      </c>
      <c r="E2" t="str">
        <f t="shared" ref="E2:E5" si="0">"&lt;tr class='weekend'&gt;&lt;td&gt;"&amp;A2&amp;"("&amp;B2&amp;")&lt;/td&gt;&lt;td&gt; - &lt;/td&gt;&lt;/tr&gt;"</f>
        <v>&lt;tr class='weekend'&gt;&lt;td&gt;2日(木)&lt;/td&gt;&lt;td&gt; - &lt;/td&gt;&lt;/tr&gt;</v>
      </c>
    </row>
    <row r="3" spans="1:5" x14ac:dyDescent="0.2">
      <c r="A3" t="s">
        <v>151</v>
      </c>
      <c r="B3" t="s">
        <v>144</v>
      </c>
      <c r="C3" t="s">
        <v>148</v>
      </c>
      <c r="E3" t="str">
        <f t="shared" si="0"/>
        <v>&lt;tr class='weekend'&gt;&lt;td&gt;3日(金)&lt;/td&gt;&lt;td&gt; - &lt;/td&gt;&lt;/tr&gt;</v>
      </c>
    </row>
    <row r="4" spans="1:5" x14ac:dyDescent="0.2">
      <c r="A4" t="s">
        <v>152</v>
      </c>
      <c r="B4" t="s">
        <v>145</v>
      </c>
      <c r="C4" t="s">
        <v>148</v>
      </c>
      <c r="E4" t="str">
        <f t="shared" si="0"/>
        <v>&lt;tr class='weekend'&gt;&lt;td&gt;4日(土)&lt;/td&gt;&lt;td&gt; - &lt;/td&gt;&lt;/tr&gt;</v>
      </c>
    </row>
    <row r="5" spans="1:5" x14ac:dyDescent="0.2">
      <c r="A5" t="s">
        <v>153</v>
      </c>
      <c r="B5" t="s">
        <v>146</v>
      </c>
      <c r="C5" t="s">
        <v>148</v>
      </c>
      <c r="E5" t="str">
        <f t="shared" si="0"/>
        <v>&lt;tr class='weekend'&gt;&lt;td&gt;5日(日)&lt;/td&gt;&lt;td&gt; - &lt;/td&gt;&lt;/tr&gt;</v>
      </c>
    </row>
    <row r="6" spans="1:5" x14ac:dyDescent="0.2">
      <c r="A6" t="s">
        <v>154</v>
      </c>
      <c r="B6" t="s">
        <v>107</v>
      </c>
      <c r="C6" t="s">
        <v>148</v>
      </c>
      <c r="E6" t="str">
        <f>"&lt;tr&gt;&lt;td&gt;"&amp;A6&amp;"("&amp;B6&amp;")&lt;/td&gt;&lt;td&gt; - &lt;/td&gt;&lt;/tr&gt;"</f>
        <v>&lt;tr&gt;&lt;td&gt;6日(月)&lt;/td&gt;&lt;td&gt; - &lt;/td&gt;&lt;/tr&gt;</v>
      </c>
    </row>
    <row r="7" spans="1:5" x14ac:dyDescent="0.2">
      <c r="A7" t="s">
        <v>155</v>
      </c>
      <c r="B7" t="s">
        <v>141</v>
      </c>
      <c r="C7" t="s">
        <v>148</v>
      </c>
      <c r="E7" t="str">
        <f>"&lt;tr&gt;&lt;td&gt;"&amp;A7&amp;"("&amp;B7&amp;")&lt;/td&gt;&lt;td&gt; - &lt;/td&gt;&lt;/tr&gt;"</f>
        <v>&lt;tr&gt;&lt;td&gt;7日(火)&lt;/td&gt;&lt;td&gt; - &lt;/td&gt;&lt;/tr&gt;</v>
      </c>
    </row>
    <row r="8" spans="1:5" x14ac:dyDescent="0.2">
      <c r="A8" t="s">
        <v>156</v>
      </c>
      <c r="B8" t="s">
        <v>142</v>
      </c>
      <c r="C8" t="s">
        <v>148</v>
      </c>
      <c r="E8" t="str">
        <f t="shared" ref="E8:E9" si="1">"&lt;tr class='weekend'&gt;&lt;td&gt;"&amp;A8&amp;"("&amp;B8&amp;")&lt;/td&gt;&lt;td&gt; - &lt;/td&gt;&lt;/tr&gt;"</f>
        <v>&lt;tr class='weekend'&gt;&lt;td&gt;8日(水)&lt;/td&gt;&lt;td&gt; - &lt;/td&gt;&lt;/tr&gt;</v>
      </c>
    </row>
    <row r="9" spans="1:5" x14ac:dyDescent="0.2">
      <c r="A9" t="s">
        <v>157</v>
      </c>
      <c r="B9" t="s">
        <v>143</v>
      </c>
      <c r="C9" t="s">
        <v>148</v>
      </c>
      <c r="E9" t="str">
        <f t="shared" si="1"/>
        <v>&lt;tr class='weekend'&gt;&lt;td&gt;9日(木)&lt;/td&gt;&lt;td&gt; - &lt;/td&gt;&lt;/tr&gt;</v>
      </c>
    </row>
    <row r="10" spans="1:5" x14ac:dyDescent="0.2">
      <c r="A10" t="s">
        <v>158</v>
      </c>
      <c r="B10" t="s">
        <v>144</v>
      </c>
      <c r="C10" t="s">
        <v>148</v>
      </c>
      <c r="E10" t="str">
        <f t="shared" ref="E10:E14" si="2">"&lt;tr&gt;&lt;td&gt;"&amp;A10&amp;"("&amp;B10&amp;")&lt;/td&gt;&lt;td&gt; - &lt;/td&gt;&lt;/tr&gt;"</f>
        <v>&lt;tr&gt;&lt;td&gt;10日(金)&lt;/td&gt;&lt;td&gt; - &lt;/td&gt;&lt;/tr&gt;</v>
      </c>
    </row>
    <row r="11" spans="1:5" x14ac:dyDescent="0.2">
      <c r="A11" t="s">
        <v>159</v>
      </c>
      <c r="B11" t="s">
        <v>145</v>
      </c>
      <c r="C11" t="s">
        <v>148</v>
      </c>
      <c r="E11" t="str">
        <f t="shared" si="2"/>
        <v>&lt;tr&gt;&lt;td&gt;11日(土)&lt;/td&gt;&lt;td&gt; - &lt;/td&gt;&lt;/tr&gt;</v>
      </c>
    </row>
    <row r="12" spans="1:5" x14ac:dyDescent="0.2">
      <c r="A12" t="s">
        <v>160</v>
      </c>
      <c r="B12" t="s">
        <v>146</v>
      </c>
      <c r="C12" t="s">
        <v>148</v>
      </c>
      <c r="E12" t="str">
        <f t="shared" si="2"/>
        <v>&lt;tr&gt;&lt;td&gt;12日(日)&lt;/td&gt;&lt;td&gt; - &lt;/td&gt;&lt;/tr&gt;</v>
      </c>
    </row>
    <row r="13" spans="1:5" x14ac:dyDescent="0.2">
      <c r="A13" t="s">
        <v>161</v>
      </c>
      <c r="B13" t="s">
        <v>107</v>
      </c>
      <c r="C13" t="s">
        <v>148</v>
      </c>
      <c r="E13" t="str">
        <f t="shared" si="2"/>
        <v>&lt;tr&gt;&lt;td&gt;13日(月)&lt;/td&gt;&lt;td&gt; - &lt;/td&gt;&lt;/tr&gt;</v>
      </c>
    </row>
    <row r="14" spans="1:5" x14ac:dyDescent="0.2">
      <c r="A14" t="s">
        <v>162</v>
      </c>
      <c r="B14" t="s">
        <v>141</v>
      </c>
      <c r="C14" t="s">
        <v>148</v>
      </c>
      <c r="E14" t="str">
        <f t="shared" si="2"/>
        <v>&lt;tr&gt;&lt;td&gt;14日(火)&lt;/td&gt;&lt;td&gt; - &lt;/td&gt;&lt;/tr&gt;</v>
      </c>
    </row>
    <row r="15" spans="1:5" x14ac:dyDescent="0.2">
      <c r="A15" t="s">
        <v>163</v>
      </c>
      <c r="B15" t="s">
        <v>142</v>
      </c>
      <c r="C15" t="s">
        <v>148</v>
      </c>
      <c r="E15" t="str">
        <f t="shared" ref="E15:E16" si="3">"&lt;tr class='weekend'&gt;&lt;td&gt;"&amp;A15&amp;"("&amp;B15&amp;")&lt;/td&gt;&lt;td&gt; - &lt;/td&gt;&lt;/tr&gt;"</f>
        <v>&lt;tr class='weekend'&gt;&lt;td&gt;15日(水)&lt;/td&gt;&lt;td&gt; - &lt;/td&gt;&lt;/tr&gt;</v>
      </c>
    </row>
    <row r="16" spans="1:5" x14ac:dyDescent="0.2">
      <c r="A16" t="s">
        <v>164</v>
      </c>
      <c r="B16" t="s">
        <v>143</v>
      </c>
      <c r="C16" t="s">
        <v>148</v>
      </c>
      <c r="E16" t="str">
        <f t="shared" si="3"/>
        <v>&lt;tr class='weekend'&gt;&lt;td&gt;16日(木)&lt;/td&gt;&lt;td&gt; - &lt;/td&gt;&lt;/tr&gt;</v>
      </c>
    </row>
    <row r="17" spans="1:5" x14ac:dyDescent="0.2">
      <c r="A17" t="s">
        <v>165</v>
      </c>
      <c r="B17" t="s">
        <v>144</v>
      </c>
      <c r="C17" t="s">
        <v>148</v>
      </c>
      <c r="E17" t="str">
        <f t="shared" ref="E17:E21" si="4">"&lt;tr&gt;&lt;td&gt;"&amp;A17&amp;"("&amp;B17&amp;")&lt;/td&gt;&lt;td&gt; - &lt;/td&gt;&lt;/tr&gt;"</f>
        <v>&lt;tr&gt;&lt;td&gt;17日(金)&lt;/td&gt;&lt;td&gt; - &lt;/td&gt;&lt;/tr&gt;</v>
      </c>
    </row>
    <row r="18" spans="1:5" x14ac:dyDescent="0.2">
      <c r="A18" t="s">
        <v>166</v>
      </c>
      <c r="B18" t="s">
        <v>145</v>
      </c>
      <c r="C18" t="s">
        <v>148</v>
      </c>
      <c r="E18" t="str">
        <f t="shared" si="4"/>
        <v>&lt;tr&gt;&lt;td&gt;18日(土)&lt;/td&gt;&lt;td&gt; - &lt;/td&gt;&lt;/tr&gt;</v>
      </c>
    </row>
    <row r="19" spans="1:5" x14ac:dyDescent="0.2">
      <c r="A19" t="s">
        <v>167</v>
      </c>
      <c r="B19" t="s">
        <v>146</v>
      </c>
      <c r="C19" t="s">
        <v>148</v>
      </c>
      <c r="E19" t="str">
        <f t="shared" si="4"/>
        <v>&lt;tr&gt;&lt;td&gt;19日(日)&lt;/td&gt;&lt;td&gt; - &lt;/td&gt;&lt;/tr&gt;</v>
      </c>
    </row>
    <row r="20" spans="1:5" x14ac:dyDescent="0.2">
      <c r="A20" t="s">
        <v>168</v>
      </c>
      <c r="B20" t="s">
        <v>107</v>
      </c>
      <c r="C20" t="s">
        <v>148</v>
      </c>
      <c r="E20" t="str">
        <f t="shared" si="4"/>
        <v>&lt;tr&gt;&lt;td&gt;20日(月)&lt;/td&gt;&lt;td&gt; - &lt;/td&gt;&lt;/tr&gt;</v>
      </c>
    </row>
    <row r="21" spans="1:5" x14ac:dyDescent="0.2">
      <c r="A21" t="s">
        <v>169</v>
      </c>
      <c r="B21" t="s">
        <v>141</v>
      </c>
      <c r="C21" t="s">
        <v>148</v>
      </c>
      <c r="E21" t="str">
        <f t="shared" si="4"/>
        <v>&lt;tr&gt;&lt;td&gt;21日(火)&lt;/td&gt;&lt;td&gt; - &lt;/td&gt;&lt;/tr&gt;</v>
      </c>
    </row>
    <row r="22" spans="1:5" x14ac:dyDescent="0.2">
      <c r="A22" t="s">
        <v>170</v>
      </c>
      <c r="B22" t="s">
        <v>142</v>
      </c>
      <c r="C22" t="s">
        <v>148</v>
      </c>
      <c r="E22" t="str">
        <f t="shared" ref="E22:E23" si="5">"&lt;tr class='weekend'&gt;&lt;td&gt;"&amp;A22&amp;"("&amp;B22&amp;")&lt;/td&gt;&lt;td&gt; - &lt;/td&gt;&lt;/tr&gt;"</f>
        <v>&lt;tr class='weekend'&gt;&lt;td&gt;22日(水)&lt;/td&gt;&lt;td&gt; - &lt;/td&gt;&lt;/tr&gt;</v>
      </c>
    </row>
    <row r="23" spans="1:5" x14ac:dyDescent="0.2">
      <c r="A23" t="s">
        <v>171</v>
      </c>
      <c r="B23" t="s">
        <v>143</v>
      </c>
      <c r="C23" t="s">
        <v>148</v>
      </c>
      <c r="E23" t="str">
        <f t="shared" si="5"/>
        <v>&lt;tr class='weekend'&gt;&lt;td&gt;23日(木)&lt;/td&gt;&lt;td&gt; - &lt;/td&gt;&lt;/tr&gt;</v>
      </c>
    </row>
    <row r="24" spans="1:5" x14ac:dyDescent="0.2">
      <c r="A24" t="s">
        <v>172</v>
      </c>
      <c r="B24" t="s">
        <v>144</v>
      </c>
      <c r="C24" t="s">
        <v>148</v>
      </c>
      <c r="E24" t="str">
        <f t="shared" ref="E24:E28" si="6">"&lt;tr&gt;&lt;td&gt;"&amp;A24&amp;"("&amp;B24&amp;")&lt;/td&gt;&lt;td&gt; - &lt;/td&gt;&lt;/tr&gt;"</f>
        <v>&lt;tr&gt;&lt;td&gt;24日(金)&lt;/td&gt;&lt;td&gt; - &lt;/td&gt;&lt;/tr&gt;</v>
      </c>
    </row>
    <row r="25" spans="1:5" x14ac:dyDescent="0.2">
      <c r="A25" t="s">
        <v>173</v>
      </c>
      <c r="B25" t="s">
        <v>145</v>
      </c>
      <c r="C25" t="s">
        <v>148</v>
      </c>
      <c r="E25" t="str">
        <f t="shared" si="6"/>
        <v>&lt;tr&gt;&lt;td&gt;25日(土)&lt;/td&gt;&lt;td&gt; - &lt;/td&gt;&lt;/tr&gt;</v>
      </c>
    </row>
    <row r="26" spans="1:5" x14ac:dyDescent="0.2">
      <c r="A26" t="s">
        <v>174</v>
      </c>
      <c r="B26" t="s">
        <v>146</v>
      </c>
      <c r="C26" t="s">
        <v>148</v>
      </c>
      <c r="E26" t="str">
        <f t="shared" si="6"/>
        <v>&lt;tr&gt;&lt;td&gt;26日(日)&lt;/td&gt;&lt;td&gt; - &lt;/td&gt;&lt;/tr&gt;</v>
      </c>
    </row>
    <row r="27" spans="1:5" x14ac:dyDescent="0.2">
      <c r="A27" t="s">
        <v>175</v>
      </c>
      <c r="B27" t="s">
        <v>107</v>
      </c>
      <c r="C27" t="s">
        <v>148</v>
      </c>
      <c r="E27" t="str">
        <f t="shared" si="6"/>
        <v>&lt;tr&gt;&lt;td&gt;27日(月)&lt;/td&gt;&lt;td&gt; - &lt;/td&gt;&lt;/tr&gt;</v>
      </c>
    </row>
    <row r="28" spans="1:5" x14ac:dyDescent="0.2">
      <c r="A28" t="s">
        <v>176</v>
      </c>
      <c r="B28" t="s">
        <v>141</v>
      </c>
      <c r="C28" t="s">
        <v>148</v>
      </c>
      <c r="E28" t="str">
        <f t="shared" si="6"/>
        <v>&lt;tr&gt;&lt;td&gt;28日(火)&lt;/td&gt;&lt;td&gt; - &lt;/td&gt;&lt;/tr&gt;</v>
      </c>
    </row>
    <row r="29" spans="1:5" x14ac:dyDescent="0.2">
      <c r="A29" t="s">
        <v>177</v>
      </c>
      <c r="B29" t="s">
        <v>142</v>
      </c>
      <c r="C29" t="s">
        <v>148</v>
      </c>
      <c r="E29" t="str">
        <f t="shared" ref="E29:E30" si="7">"&lt;tr class='weekend'&gt;&lt;td&gt;"&amp;A29&amp;"("&amp;B29&amp;")&lt;/td&gt;&lt;td&gt; - &lt;/td&gt;&lt;/tr&gt;"</f>
        <v>&lt;tr class='weekend'&gt;&lt;td&gt;29日(水)&lt;/td&gt;&lt;td&gt; - &lt;/td&gt;&lt;/tr&gt;</v>
      </c>
    </row>
    <row r="30" spans="1:5" x14ac:dyDescent="0.2">
      <c r="A30" t="s">
        <v>178</v>
      </c>
      <c r="B30" t="s">
        <v>143</v>
      </c>
      <c r="C30" t="s">
        <v>148</v>
      </c>
      <c r="E30" t="str">
        <f t="shared" si="7"/>
        <v>&lt;tr class='weekend'&gt;&lt;td&gt;30日(木)&lt;/td&gt;&lt;td&gt; - &lt;/td&gt;&lt;/tr&gt;</v>
      </c>
    </row>
    <row r="31" spans="1:5" x14ac:dyDescent="0.2">
      <c r="A31" t="s">
        <v>179</v>
      </c>
      <c r="B31" t="s">
        <v>144</v>
      </c>
      <c r="C31" t="s">
        <v>148</v>
      </c>
      <c r="E31" t="str">
        <f>"&lt;tr&gt;&lt;td&gt;"&amp;A31&amp;"("&amp;B31&amp;")&lt;/td&gt;&lt;td&gt; - &lt;/td&gt;&lt;/tr&gt;"</f>
        <v>&lt;tr&gt;&lt;td&gt;31日(金)&lt;/td&gt;&lt;td&gt; - &lt;/td&gt;&lt;/tr&gt;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6069F-EFE3-4A4C-BAA1-9B589D0ACD36}">
  <dimension ref="A1:I30"/>
  <sheetViews>
    <sheetView workbookViewId="0">
      <selection activeCell="N12" sqref="N12"/>
    </sheetView>
  </sheetViews>
  <sheetFormatPr defaultRowHeight="13.2" x14ac:dyDescent="0.2"/>
  <cols>
    <col min="1" max="1" width="3.88671875" style="10" bestFit="1" customWidth="1"/>
    <col min="2" max="2" width="2.77734375" style="10" bestFit="1" customWidth="1"/>
    <col min="3" max="3" width="3.88671875" style="10" bestFit="1" customWidth="1"/>
    <col min="4" max="4" width="2.33203125" style="10" bestFit="1" customWidth="1"/>
    <col min="5" max="5" width="3.77734375" bestFit="1" customWidth="1"/>
    <col min="6" max="6" width="2.33203125" bestFit="1" customWidth="1"/>
    <col min="7" max="7" width="10" bestFit="1" customWidth="1"/>
    <col min="8" max="8" width="3" customWidth="1"/>
  </cols>
  <sheetData>
    <row r="1" spans="1:9" x14ac:dyDescent="0.2">
      <c r="A1" s="10" t="s">
        <v>181</v>
      </c>
    </row>
    <row r="3" spans="1:9" x14ac:dyDescent="0.2">
      <c r="A3" s="10" t="s">
        <v>182</v>
      </c>
      <c r="B3" s="10" t="s">
        <v>138</v>
      </c>
      <c r="C3" s="10" t="s">
        <v>130</v>
      </c>
      <c r="D3" s="10" t="s">
        <v>139</v>
      </c>
      <c r="E3" t="s">
        <v>108</v>
      </c>
      <c r="F3" s="10" t="s">
        <v>140</v>
      </c>
      <c r="G3" t="s">
        <v>147</v>
      </c>
      <c r="I3" t="str">
        <f>CONCATENATE(A3,B3,C3,D3,E3,F3,G3)</f>
        <v>=$A$1/01(月) 臨時休業</v>
      </c>
    </row>
    <row r="4" spans="1:9" x14ac:dyDescent="0.2">
      <c r="A4" s="10" t="s">
        <v>183</v>
      </c>
      <c r="B4" s="10" t="s">
        <v>138</v>
      </c>
      <c r="C4" s="10" t="s">
        <v>109</v>
      </c>
      <c r="D4" s="10" t="s">
        <v>139</v>
      </c>
      <c r="E4" t="s">
        <v>141</v>
      </c>
      <c r="F4" s="10" t="s">
        <v>140</v>
      </c>
      <c r="G4" t="s">
        <v>147</v>
      </c>
      <c r="I4" t="str">
        <f t="shared" ref="I4:I30" si="0">CONCATENATE(A4,B4,C4,D4,E4,F4,G4)</f>
        <v>=A1/02(火) 臨時休業</v>
      </c>
    </row>
    <row r="5" spans="1:9" x14ac:dyDescent="0.2">
      <c r="A5" s="10" t="s">
        <v>110</v>
      </c>
      <c r="B5" s="10" t="s">
        <v>138</v>
      </c>
      <c r="C5" s="10" t="s">
        <v>131</v>
      </c>
      <c r="D5" s="10" t="s">
        <v>139</v>
      </c>
      <c r="E5" t="s">
        <v>142</v>
      </c>
      <c r="F5" s="10" t="s">
        <v>140</v>
      </c>
      <c r="G5" t="s">
        <v>147</v>
      </c>
      <c r="I5" t="str">
        <f t="shared" si="0"/>
        <v>02/03(水) 臨時休業</v>
      </c>
    </row>
    <row r="6" spans="1:9" x14ac:dyDescent="0.2">
      <c r="A6" s="10" t="s">
        <v>110</v>
      </c>
      <c r="B6" s="10" t="s">
        <v>138</v>
      </c>
      <c r="C6" s="10" t="s">
        <v>132</v>
      </c>
      <c r="D6" s="10" t="s">
        <v>139</v>
      </c>
      <c r="E6" t="s">
        <v>143</v>
      </c>
      <c r="F6" s="10" t="s">
        <v>140</v>
      </c>
      <c r="G6" t="s">
        <v>147</v>
      </c>
      <c r="I6" t="str">
        <f t="shared" si="0"/>
        <v>02/04(木) 臨時休業</v>
      </c>
    </row>
    <row r="7" spans="1:9" x14ac:dyDescent="0.2">
      <c r="A7" s="10" t="s">
        <v>110</v>
      </c>
      <c r="B7" s="10" t="s">
        <v>138</v>
      </c>
      <c r="C7" s="10" t="s">
        <v>133</v>
      </c>
      <c r="D7" s="10" t="s">
        <v>139</v>
      </c>
      <c r="E7" t="s">
        <v>144</v>
      </c>
      <c r="F7" s="10" t="s">
        <v>140</v>
      </c>
      <c r="G7" t="s">
        <v>147</v>
      </c>
      <c r="I7" t="str">
        <f t="shared" si="0"/>
        <v>02/05(金) 臨時休業</v>
      </c>
    </row>
    <row r="8" spans="1:9" x14ac:dyDescent="0.2">
      <c r="A8" s="10" t="s">
        <v>110</v>
      </c>
      <c r="B8" s="10" t="s">
        <v>138</v>
      </c>
      <c r="C8" s="10" t="s">
        <v>134</v>
      </c>
      <c r="D8" s="10" t="s">
        <v>139</v>
      </c>
      <c r="E8" t="s">
        <v>145</v>
      </c>
      <c r="F8" s="10" t="s">
        <v>140</v>
      </c>
      <c r="G8" t="s">
        <v>147</v>
      </c>
      <c r="I8" t="str">
        <f t="shared" si="0"/>
        <v>02/06(土) 臨時休業</v>
      </c>
    </row>
    <row r="9" spans="1:9" x14ac:dyDescent="0.2">
      <c r="A9" s="10" t="s">
        <v>110</v>
      </c>
      <c r="B9" s="10" t="s">
        <v>138</v>
      </c>
      <c r="C9" s="10" t="s">
        <v>135</v>
      </c>
      <c r="D9" s="10" t="s">
        <v>139</v>
      </c>
      <c r="E9" t="s">
        <v>146</v>
      </c>
      <c r="F9" s="10" t="s">
        <v>140</v>
      </c>
      <c r="G9" t="s">
        <v>147</v>
      </c>
      <c r="I9" t="str">
        <f t="shared" si="0"/>
        <v>02/07(日) 臨時休業</v>
      </c>
    </row>
    <row r="10" spans="1:9" x14ac:dyDescent="0.2">
      <c r="A10" s="10" t="s">
        <v>110</v>
      </c>
      <c r="B10" s="10" t="s">
        <v>138</v>
      </c>
      <c r="C10" s="10" t="s">
        <v>136</v>
      </c>
      <c r="D10" s="10" t="s">
        <v>139</v>
      </c>
      <c r="E10" t="s">
        <v>107</v>
      </c>
      <c r="F10" s="10" t="s">
        <v>140</v>
      </c>
      <c r="G10" t="s">
        <v>147</v>
      </c>
      <c r="I10" t="str">
        <f t="shared" si="0"/>
        <v>02/08(月) 臨時休業</v>
      </c>
    </row>
    <row r="11" spans="1:9" x14ac:dyDescent="0.2">
      <c r="A11" s="10" t="s">
        <v>110</v>
      </c>
      <c r="B11" s="10" t="s">
        <v>138</v>
      </c>
      <c r="C11" s="10" t="s">
        <v>137</v>
      </c>
      <c r="D11" s="10" t="s">
        <v>139</v>
      </c>
      <c r="E11" t="s">
        <v>141</v>
      </c>
      <c r="F11" s="10" t="s">
        <v>140</v>
      </c>
      <c r="G11" t="s">
        <v>147</v>
      </c>
      <c r="I11" t="str">
        <f t="shared" si="0"/>
        <v>02/09(火) 臨時休業</v>
      </c>
    </row>
    <row r="12" spans="1:9" x14ac:dyDescent="0.2">
      <c r="A12" s="10" t="s">
        <v>110</v>
      </c>
      <c r="B12" s="10" t="s">
        <v>138</v>
      </c>
      <c r="C12" s="10" t="s">
        <v>111</v>
      </c>
      <c r="D12" s="10" t="s">
        <v>139</v>
      </c>
      <c r="E12" t="s">
        <v>142</v>
      </c>
      <c r="F12" s="10" t="s">
        <v>140</v>
      </c>
      <c r="G12" t="s">
        <v>147</v>
      </c>
      <c r="I12" t="str">
        <f t="shared" si="0"/>
        <v>02/10(水) 臨時休業</v>
      </c>
    </row>
    <row r="13" spans="1:9" x14ac:dyDescent="0.2">
      <c r="A13" s="10" t="s">
        <v>110</v>
      </c>
      <c r="B13" s="10" t="s">
        <v>138</v>
      </c>
      <c r="C13" s="10" t="s">
        <v>112</v>
      </c>
      <c r="D13" s="10" t="s">
        <v>139</v>
      </c>
      <c r="E13" t="s">
        <v>143</v>
      </c>
      <c r="F13" s="10" t="s">
        <v>140</v>
      </c>
      <c r="G13" t="s">
        <v>147</v>
      </c>
      <c r="I13" t="str">
        <f t="shared" si="0"/>
        <v>02/11(木) 臨時休業</v>
      </c>
    </row>
    <row r="14" spans="1:9" x14ac:dyDescent="0.2">
      <c r="A14" s="10" t="s">
        <v>110</v>
      </c>
      <c r="B14" s="10" t="s">
        <v>138</v>
      </c>
      <c r="C14" s="10" t="s">
        <v>113</v>
      </c>
      <c r="D14" s="10" t="s">
        <v>139</v>
      </c>
      <c r="E14" t="s">
        <v>144</v>
      </c>
      <c r="F14" s="10" t="s">
        <v>140</v>
      </c>
      <c r="G14" t="s">
        <v>147</v>
      </c>
      <c r="I14" t="str">
        <f t="shared" si="0"/>
        <v>02/12(金) 臨時休業</v>
      </c>
    </row>
    <row r="15" spans="1:9" x14ac:dyDescent="0.2">
      <c r="A15" s="10" t="s">
        <v>110</v>
      </c>
      <c r="B15" s="10" t="s">
        <v>138</v>
      </c>
      <c r="C15" s="10" t="s">
        <v>114</v>
      </c>
      <c r="D15" s="10" t="s">
        <v>139</v>
      </c>
      <c r="E15" t="s">
        <v>145</v>
      </c>
      <c r="F15" s="10" t="s">
        <v>140</v>
      </c>
      <c r="G15" t="s">
        <v>147</v>
      </c>
      <c r="I15" t="str">
        <f t="shared" si="0"/>
        <v>02/13(土) 臨時休業</v>
      </c>
    </row>
    <row r="16" spans="1:9" x14ac:dyDescent="0.2">
      <c r="A16" s="10" t="s">
        <v>110</v>
      </c>
      <c r="B16" s="10" t="s">
        <v>138</v>
      </c>
      <c r="C16" s="10" t="s">
        <v>115</v>
      </c>
      <c r="D16" s="10" t="s">
        <v>139</v>
      </c>
      <c r="E16" t="s">
        <v>146</v>
      </c>
      <c r="F16" s="10" t="s">
        <v>140</v>
      </c>
      <c r="G16" t="s">
        <v>147</v>
      </c>
      <c r="I16" t="str">
        <f t="shared" si="0"/>
        <v>02/14(日) 臨時休業</v>
      </c>
    </row>
    <row r="17" spans="1:9" x14ac:dyDescent="0.2">
      <c r="A17" s="10" t="s">
        <v>110</v>
      </c>
      <c r="B17" s="10" t="s">
        <v>138</v>
      </c>
      <c r="C17" s="10" t="s">
        <v>116</v>
      </c>
      <c r="D17" s="10" t="s">
        <v>139</v>
      </c>
      <c r="E17" t="s">
        <v>107</v>
      </c>
      <c r="F17" s="10" t="s">
        <v>140</v>
      </c>
      <c r="G17" t="s">
        <v>147</v>
      </c>
      <c r="I17" t="str">
        <f t="shared" si="0"/>
        <v>02/15(月) 臨時休業</v>
      </c>
    </row>
    <row r="18" spans="1:9" x14ac:dyDescent="0.2">
      <c r="A18" s="10" t="s">
        <v>110</v>
      </c>
      <c r="B18" s="10" t="s">
        <v>138</v>
      </c>
      <c r="C18" s="10" t="s">
        <v>117</v>
      </c>
      <c r="D18" s="10" t="s">
        <v>139</v>
      </c>
      <c r="E18" t="s">
        <v>141</v>
      </c>
      <c r="F18" s="10" t="s">
        <v>140</v>
      </c>
      <c r="G18" t="s">
        <v>147</v>
      </c>
      <c r="I18" t="str">
        <f t="shared" si="0"/>
        <v>02/16(火) 臨時休業</v>
      </c>
    </row>
    <row r="19" spans="1:9" x14ac:dyDescent="0.2">
      <c r="A19" s="10" t="s">
        <v>110</v>
      </c>
      <c r="B19" s="10" t="s">
        <v>138</v>
      </c>
      <c r="C19" s="10" t="s">
        <v>118</v>
      </c>
      <c r="D19" s="10" t="s">
        <v>139</v>
      </c>
      <c r="E19" t="s">
        <v>142</v>
      </c>
      <c r="F19" s="10" t="s">
        <v>140</v>
      </c>
      <c r="G19" t="s">
        <v>147</v>
      </c>
      <c r="I19" t="str">
        <f t="shared" si="0"/>
        <v>02/17(水) 臨時休業</v>
      </c>
    </row>
    <row r="20" spans="1:9" x14ac:dyDescent="0.2">
      <c r="A20" s="10" t="s">
        <v>110</v>
      </c>
      <c r="B20" s="10" t="s">
        <v>138</v>
      </c>
      <c r="C20" s="10" t="s">
        <v>119</v>
      </c>
      <c r="D20" s="10" t="s">
        <v>139</v>
      </c>
      <c r="E20" t="s">
        <v>143</v>
      </c>
      <c r="F20" s="10" t="s">
        <v>140</v>
      </c>
      <c r="G20" t="s">
        <v>147</v>
      </c>
      <c r="I20" t="str">
        <f t="shared" si="0"/>
        <v>02/18(木) 臨時休業</v>
      </c>
    </row>
    <row r="21" spans="1:9" x14ac:dyDescent="0.2">
      <c r="A21" s="10" t="s">
        <v>110</v>
      </c>
      <c r="B21" s="10" t="s">
        <v>138</v>
      </c>
      <c r="C21" s="10" t="s">
        <v>120</v>
      </c>
      <c r="D21" s="10" t="s">
        <v>139</v>
      </c>
      <c r="E21" t="s">
        <v>144</v>
      </c>
      <c r="F21" s="10" t="s">
        <v>140</v>
      </c>
      <c r="G21" t="s">
        <v>147</v>
      </c>
      <c r="I21" t="str">
        <f t="shared" si="0"/>
        <v>02/19(金) 臨時休業</v>
      </c>
    </row>
    <row r="22" spans="1:9" x14ac:dyDescent="0.2">
      <c r="A22" s="10" t="s">
        <v>110</v>
      </c>
      <c r="B22" s="10" t="s">
        <v>138</v>
      </c>
      <c r="C22" s="10" t="s">
        <v>121</v>
      </c>
      <c r="D22" s="10" t="s">
        <v>139</v>
      </c>
      <c r="E22" t="s">
        <v>145</v>
      </c>
      <c r="F22" s="10" t="s">
        <v>140</v>
      </c>
      <c r="G22" t="s">
        <v>147</v>
      </c>
      <c r="I22" t="str">
        <f t="shared" si="0"/>
        <v>02/20(土) 臨時休業</v>
      </c>
    </row>
    <row r="23" spans="1:9" x14ac:dyDescent="0.2">
      <c r="A23" s="10" t="s">
        <v>110</v>
      </c>
      <c r="B23" s="10" t="s">
        <v>138</v>
      </c>
      <c r="C23" s="10" t="s">
        <v>122</v>
      </c>
      <c r="D23" s="10" t="s">
        <v>139</v>
      </c>
      <c r="E23" t="s">
        <v>146</v>
      </c>
      <c r="F23" s="10" t="s">
        <v>140</v>
      </c>
      <c r="G23" t="s">
        <v>147</v>
      </c>
      <c r="I23" t="str">
        <f t="shared" si="0"/>
        <v>02/21(日) 臨時休業</v>
      </c>
    </row>
    <row r="24" spans="1:9" x14ac:dyDescent="0.2">
      <c r="A24" s="10" t="s">
        <v>110</v>
      </c>
      <c r="B24" s="10" t="s">
        <v>138</v>
      </c>
      <c r="C24" s="10" t="s">
        <v>123</v>
      </c>
      <c r="D24" s="10" t="s">
        <v>139</v>
      </c>
      <c r="E24" t="s">
        <v>107</v>
      </c>
      <c r="F24" s="10" t="s">
        <v>140</v>
      </c>
      <c r="G24" t="s">
        <v>147</v>
      </c>
      <c r="I24" t="str">
        <f t="shared" si="0"/>
        <v>02/22(月) 臨時休業</v>
      </c>
    </row>
    <row r="25" spans="1:9" x14ac:dyDescent="0.2">
      <c r="A25" s="10" t="s">
        <v>110</v>
      </c>
      <c r="B25" s="10" t="s">
        <v>138</v>
      </c>
      <c r="C25" s="10" t="s">
        <v>124</v>
      </c>
      <c r="D25" s="10" t="s">
        <v>139</v>
      </c>
      <c r="E25" t="s">
        <v>141</v>
      </c>
      <c r="F25" s="10" t="s">
        <v>140</v>
      </c>
      <c r="G25" t="s">
        <v>147</v>
      </c>
      <c r="I25" t="str">
        <f t="shared" si="0"/>
        <v>02/23(火) 臨時休業</v>
      </c>
    </row>
    <row r="26" spans="1:9" x14ac:dyDescent="0.2">
      <c r="A26" s="10" t="s">
        <v>110</v>
      </c>
      <c r="B26" s="10" t="s">
        <v>138</v>
      </c>
      <c r="C26" s="10" t="s">
        <v>125</v>
      </c>
      <c r="D26" s="10" t="s">
        <v>139</v>
      </c>
      <c r="E26" t="s">
        <v>142</v>
      </c>
      <c r="F26" s="10" t="s">
        <v>140</v>
      </c>
      <c r="G26" t="s">
        <v>147</v>
      </c>
      <c r="I26" t="str">
        <f t="shared" si="0"/>
        <v>02/24(水) 臨時休業</v>
      </c>
    </row>
    <row r="27" spans="1:9" x14ac:dyDescent="0.2">
      <c r="A27" s="10" t="s">
        <v>110</v>
      </c>
      <c r="B27" s="10" t="s">
        <v>138</v>
      </c>
      <c r="C27" s="10" t="s">
        <v>126</v>
      </c>
      <c r="D27" s="10" t="s">
        <v>139</v>
      </c>
      <c r="E27" t="s">
        <v>143</v>
      </c>
      <c r="F27" s="10" t="s">
        <v>140</v>
      </c>
      <c r="G27" t="s">
        <v>147</v>
      </c>
      <c r="I27" t="str">
        <f t="shared" si="0"/>
        <v>02/25(木) 臨時休業</v>
      </c>
    </row>
    <row r="28" spans="1:9" x14ac:dyDescent="0.2">
      <c r="A28" s="10" t="s">
        <v>110</v>
      </c>
      <c r="B28" s="10" t="s">
        <v>138</v>
      </c>
      <c r="C28" s="10" t="s">
        <v>127</v>
      </c>
      <c r="D28" s="10" t="s">
        <v>139</v>
      </c>
      <c r="E28" t="s">
        <v>144</v>
      </c>
      <c r="F28" s="10" t="s">
        <v>140</v>
      </c>
      <c r="G28" t="s">
        <v>147</v>
      </c>
      <c r="I28" t="str">
        <f t="shared" si="0"/>
        <v>02/26(金) 臨時休業</v>
      </c>
    </row>
    <row r="29" spans="1:9" x14ac:dyDescent="0.2">
      <c r="A29" s="10" t="s">
        <v>110</v>
      </c>
      <c r="B29" s="10" t="s">
        <v>138</v>
      </c>
      <c r="C29" s="10" t="s">
        <v>128</v>
      </c>
      <c r="D29" s="10" t="s">
        <v>139</v>
      </c>
      <c r="E29" t="s">
        <v>145</v>
      </c>
      <c r="F29" s="10" t="s">
        <v>140</v>
      </c>
      <c r="G29" t="s">
        <v>147</v>
      </c>
      <c r="I29" t="str">
        <f t="shared" si="0"/>
        <v>02/27(土) 臨時休業</v>
      </c>
    </row>
    <row r="30" spans="1:9" x14ac:dyDescent="0.2">
      <c r="A30" s="10" t="s">
        <v>110</v>
      </c>
      <c r="B30" s="10" t="s">
        <v>138</v>
      </c>
      <c r="C30" s="10" t="s">
        <v>129</v>
      </c>
      <c r="D30" s="10" t="s">
        <v>139</v>
      </c>
      <c r="E30" t="s">
        <v>146</v>
      </c>
      <c r="F30" s="10" t="s">
        <v>140</v>
      </c>
      <c r="G30" t="s">
        <v>147</v>
      </c>
      <c r="I30" t="str">
        <f t="shared" si="0"/>
        <v>02/28(日) 臨時休業</v>
      </c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726A5-71D3-4348-A3FC-C3C0533C8528}">
  <dimension ref="A3:D33"/>
  <sheetViews>
    <sheetView workbookViewId="0">
      <selection activeCell="D3" sqref="D3:D33"/>
    </sheetView>
  </sheetViews>
  <sheetFormatPr defaultRowHeight="13.2" x14ac:dyDescent="0.2"/>
  <cols>
    <col min="1" max="2" width="3.5546875" bestFit="1" customWidth="1"/>
    <col min="3" max="3" width="9.5546875" bestFit="1" customWidth="1"/>
    <col min="4" max="4" width="8.88671875" style="15"/>
  </cols>
  <sheetData>
    <row r="3" spans="1:4" x14ac:dyDescent="0.2">
      <c r="A3" s="14">
        <v>1</v>
      </c>
      <c r="B3" s="14" t="s">
        <v>184</v>
      </c>
      <c r="C3" t="s">
        <v>185</v>
      </c>
      <c r="D3" s="15" t="str">
        <f>IF(OR(B3="土", B3="日"), "&lt;tr class='weekend'&gt;&lt;td&gt;"&amp;A3&amp;"日("&amp;B3&amp;")&lt;/td&gt;&lt;td&gt;"&amp;C3&amp;"&lt;/td&gt;&lt;/tr&gt;", "&lt;tr&gt;&lt;td&gt;"&amp;A3&amp;"日("&amp;B3&amp;")&lt;/td&gt;&lt;td&gt;"&amp;C3&amp;"&lt;/td&gt;&lt;/tr&gt;")</f>
        <v>&lt;tr&gt;&lt;td&gt;1日(水)&lt;/td&gt;&lt;td&gt;臨時休業&lt;/td&gt;&lt;/tr&gt;</v>
      </c>
    </row>
    <row r="4" spans="1:4" x14ac:dyDescent="0.2">
      <c r="A4" s="14">
        <v>2</v>
      </c>
      <c r="B4" s="14" t="s">
        <v>143</v>
      </c>
      <c r="C4" t="s">
        <v>185</v>
      </c>
      <c r="D4" s="15" t="str">
        <f t="shared" ref="D4:D33" si="0">IF(OR(B4="土", B4="日"), "&lt;tr class='weekend'&gt;&lt;td&gt;"&amp;A4&amp;"日("&amp;B4&amp;")&lt;/td&gt;&lt;td&gt;"&amp;C4&amp;"&lt;/td&gt;&lt;/tr&gt;", "&lt;tr&gt;&lt;td&gt;"&amp;A4&amp;"日("&amp;B4&amp;")&lt;/td&gt;&lt;td&gt;"&amp;C4&amp;"&lt;/td&gt;&lt;/tr&gt;")</f>
        <v>&lt;tr&gt;&lt;td&gt;2日(木)&lt;/td&gt;&lt;td&gt;臨時休業&lt;/td&gt;&lt;/tr&gt;</v>
      </c>
    </row>
    <row r="5" spans="1:4" x14ac:dyDescent="0.2">
      <c r="A5" s="14">
        <v>3</v>
      </c>
      <c r="B5" s="14" t="s">
        <v>144</v>
      </c>
      <c r="C5" t="s">
        <v>185</v>
      </c>
      <c r="D5" s="15" t="str">
        <f t="shared" si="0"/>
        <v>&lt;tr&gt;&lt;td&gt;3日(金)&lt;/td&gt;&lt;td&gt;臨時休業&lt;/td&gt;&lt;/tr&gt;</v>
      </c>
    </row>
    <row r="6" spans="1:4" x14ac:dyDescent="0.2">
      <c r="A6" s="14">
        <v>4</v>
      </c>
      <c r="B6" s="14" t="s">
        <v>145</v>
      </c>
      <c r="C6" t="s">
        <v>185</v>
      </c>
      <c r="D6" s="15" t="str">
        <f t="shared" si="0"/>
        <v>&lt;tr class='weekend'&gt;&lt;td&gt;4日(土)&lt;/td&gt;&lt;td&gt;臨時休業&lt;/td&gt;&lt;/tr&gt;</v>
      </c>
    </row>
    <row r="7" spans="1:4" x14ac:dyDescent="0.2">
      <c r="A7" s="14">
        <v>5</v>
      </c>
      <c r="B7" s="14" t="s">
        <v>146</v>
      </c>
      <c r="C7" t="s">
        <v>185</v>
      </c>
      <c r="D7" s="15" t="str">
        <f t="shared" si="0"/>
        <v>&lt;tr class='weekend'&gt;&lt;td&gt;5日(日)&lt;/td&gt;&lt;td&gt;臨時休業&lt;/td&gt;&lt;/tr&gt;</v>
      </c>
    </row>
    <row r="8" spans="1:4" x14ac:dyDescent="0.2">
      <c r="A8" s="14">
        <v>6</v>
      </c>
      <c r="B8" s="14" t="s">
        <v>107</v>
      </c>
      <c r="C8" t="s">
        <v>185</v>
      </c>
      <c r="D8" s="15" t="str">
        <f t="shared" si="0"/>
        <v>&lt;tr&gt;&lt;td&gt;6日(月)&lt;/td&gt;&lt;td&gt;臨時休業&lt;/td&gt;&lt;/tr&gt;</v>
      </c>
    </row>
    <row r="9" spans="1:4" x14ac:dyDescent="0.2">
      <c r="A9" s="14">
        <v>7</v>
      </c>
      <c r="B9" s="14" t="s">
        <v>141</v>
      </c>
      <c r="C9" t="s">
        <v>185</v>
      </c>
      <c r="D9" s="15" t="str">
        <f t="shared" si="0"/>
        <v>&lt;tr&gt;&lt;td&gt;7日(火)&lt;/td&gt;&lt;td&gt;臨時休業&lt;/td&gt;&lt;/tr&gt;</v>
      </c>
    </row>
    <row r="10" spans="1:4" x14ac:dyDescent="0.2">
      <c r="A10" s="14">
        <v>8</v>
      </c>
      <c r="B10" s="14" t="s">
        <v>142</v>
      </c>
      <c r="C10" t="s">
        <v>185</v>
      </c>
      <c r="D10" s="15" t="str">
        <f t="shared" si="0"/>
        <v>&lt;tr&gt;&lt;td&gt;8日(水)&lt;/td&gt;&lt;td&gt;臨時休業&lt;/td&gt;&lt;/tr&gt;</v>
      </c>
    </row>
    <row r="11" spans="1:4" x14ac:dyDescent="0.2">
      <c r="A11" s="14">
        <v>9</v>
      </c>
      <c r="B11" s="14" t="s">
        <v>143</v>
      </c>
      <c r="C11" t="s">
        <v>185</v>
      </c>
      <c r="D11" s="15" t="str">
        <f t="shared" si="0"/>
        <v>&lt;tr&gt;&lt;td&gt;9日(木)&lt;/td&gt;&lt;td&gt;臨時休業&lt;/td&gt;&lt;/tr&gt;</v>
      </c>
    </row>
    <row r="12" spans="1:4" x14ac:dyDescent="0.2">
      <c r="A12" s="14">
        <v>10</v>
      </c>
      <c r="B12" s="14" t="s">
        <v>144</v>
      </c>
      <c r="C12" t="s">
        <v>185</v>
      </c>
      <c r="D12" s="15" t="str">
        <f t="shared" si="0"/>
        <v>&lt;tr&gt;&lt;td&gt;10日(金)&lt;/td&gt;&lt;td&gt;臨時休業&lt;/td&gt;&lt;/tr&gt;</v>
      </c>
    </row>
    <row r="13" spans="1:4" x14ac:dyDescent="0.2">
      <c r="A13" s="14">
        <v>11</v>
      </c>
      <c r="B13" s="14" t="s">
        <v>145</v>
      </c>
      <c r="C13" t="s">
        <v>185</v>
      </c>
      <c r="D13" s="15" t="str">
        <f t="shared" si="0"/>
        <v>&lt;tr class='weekend'&gt;&lt;td&gt;11日(土)&lt;/td&gt;&lt;td&gt;臨時休業&lt;/td&gt;&lt;/tr&gt;</v>
      </c>
    </row>
    <row r="14" spans="1:4" x14ac:dyDescent="0.2">
      <c r="A14" s="14">
        <v>12</v>
      </c>
      <c r="B14" s="14" t="s">
        <v>146</v>
      </c>
      <c r="C14" t="s">
        <v>185</v>
      </c>
      <c r="D14" s="15" t="str">
        <f t="shared" si="0"/>
        <v>&lt;tr class='weekend'&gt;&lt;td&gt;12日(日)&lt;/td&gt;&lt;td&gt;臨時休業&lt;/td&gt;&lt;/tr&gt;</v>
      </c>
    </row>
    <row r="15" spans="1:4" x14ac:dyDescent="0.2">
      <c r="A15" s="14">
        <v>13</v>
      </c>
      <c r="B15" s="14" t="s">
        <v>107</v>
      </c>
      <c r="C15" t="s">
        <v>185</v>
      </c>
      <c r="D15" s="15" t="str">
        <f t="shared" si="0"/>
        <v>&lt;tr&gt;&lt;td&gt;13日(月)&lt;/td&gt;&lt;td&gt;臨時休業&lt;/td&gt;&lt;/tr&gt;</v>
      </c>
    </row>
    <row r="16" spans="1:4" x14ac:dyDescent="0.2">
      <c r="A16" s="14">
        <v>14</v>
      </c>
      <c r="B16" s="14" t="s">
        <v>141</v>
      </c>
      <c r="C16" t="s">
        <v>185</v>
      </c>
      <c r="D16" s="15" t="str">
        <f t="shared" si="0"/>
        <v>&lt;tr&gt;&lt;td&gt;14日(火)&lt;/td&gt;&lt;td&gt;臨時休業&lt;/td&gt;&lt;/tr&gt;</v>
      </c>
    </row>
    <row r="17" spans="1:4" x14ac:dyDescent="0.2">
      <c r="A17" s="14">
        <v>15</v>
      </c>
      <c r="B17" s="14" t="s">
        <v>142</v>
      </c>
      <c r="C17" t="s">
        <v>185</v>
      </c>
      <c r="D17" s="15" t="str">
        <f t="shared" si="0"/>
        <v>&lt;tr&gt;&lt;td&gt;15日(水)&lt;/td&gt;&lt;td&gt;臨時休業&lt;/td&gt;&lt;/tr&gt;</v>
      </c>
    </row>
    <row r="18" spans="1:4" x14ac:dyDescent="0.2">
      <c r="A18" s="14">
        <v>16</v>
      </c>
      <c r="B18" s="14" t="s">
        <v>143</v>
      </c>
      <c r="C18" t="s">
        <v>185</v>
      </c>
      <c r="D18" s="15" t="str">
        <f t="shared" si="0"/>
        <v>&lt;tr&gt;&lt;td&gt;16日(木)&lt;/td&gt;&lt;td&gt;臨時休業&lt;/td&gt;&lt;/tr&gt;</v>
      </c>
    </row>
    <row r="19" spans="1:4" x14ac:dyDescent="0.2">
      <c r="A19" s="14">
        <v>17</v>
      </c>
      <c r="B19" s="14" t="s">
        <v>144</v>
      </c>
      <c r="C19" t="s">
        <v>185</v>
      </c>
      <c r="D19" s="15" t="str">
        <f t="shared" si="0"/>
        <v>&lt;tr&gt;&lt;td&gt;17日(金)&lt;/td&gt;&lt;td&gt;臨時休業&lt;/td&gt;&lt;/tr&gt;</v>
      </c>
    </row>
    <row r="20" spans="1:4" x14ac:dyDescent="0.2">
      <c r="A20" s="14">
        <v>18</v>
      </c>
      <c r="B20" s="14" t="s">
        <v>145</v>
      </c>
      <c r="C20" t="s">
        <v>185</v>
      </c>
      <c r="D20" s="15" t="str">
        <f t="shared" si="0"/>
        <v>&lt;tr class='weekend'&gt;&lt;td&gt;18日(土)&lt;/td&gt;&lt;td&gt;臨時休業&lt;/td&gt;&lt;/tr&gt;</v>
      </c>
    </row>
    <row r="21" spans="1:4" x14ac:dyDescent="0.2">
      <c r="A21" s="14">
        <v>19</v>
      </c>
      <c r="B21" s="14" t="s">
        <v>146</v>
      </c>
      <c r="C21" t="s">
        <v>185</v>
      </c>
      <c r="D21" s="15" t="str">
        <f t="shared" si="0"/>
        <v>&lt;tr class='weekend'&gt;&lt;td&gt;19日(日)&lt;/td&gt;&lt;td&gt;臨時休業&lt;/td&gt;&lt;/tr&gt;</v>
      </c>
    </row>
    <row r="22" spans="1:4" x14ac:dyDescent="0.2">
      <c r="A22" s="14">
        <v>20</v>
      </c>
      <c r="B22" s="14" t="s">
        <v>107</v>
      </c>
      <c r="C22" t="s">
        <v>185</v>
      </c>
      <c r="D22" s="15" t="str">
        <f t="shared" si="0"/>
        <v>&lt;tr&gt;&lt;td&gt;20日(月)&lt;/td&gt;&lt;td&gt;臨時休業&lt;/td&gt;&lt;/tr&gt;</v>
      </c>
    </row>
    <row r="23" spans="1:4" x14ac:dyDescent="0.2">
      <c r="A23" s="14">
        <v>21</v>
      </c>
      <c r="B23" s="14" t="s">
        <v>141</v>
      </c>
      <c r="C23" t="s">
        <v>185</v>
      </c>
      <c r="D23" s="15" t="str">
        <f t="shared" si="0"/>
        <v>&lt;tr&gt;&lt;td&gt;21日(火)&lt;/td&gt;&lt;td&gt;臨時休業&lt;/td&gt;&lt;/tr&gt;</v>
      </c>
    </row>
    <row r="24" spans="1:4" x14ac:dyDescent="0.2">
      <c r="A24" s="14">
        <v>22</v>
      </c>
      <c r="B24" s="14" t="s">
        <v>142</v>
      </c>
      <c r="C24" t="s">
        <v>185</v>
      </c>
      <c r="D24" s="15" t="str">
        <f t="shared" si="0"/>
        <v>&lt;tr&gt;&lt;td&gt;22日(水)&lt;/td&gt;&lt;td&gt;臨時休業&lt;/td&gt;&lt;/tr&gt;</v>
      </c>
    </row>
    <row r="25" spans="1:4" x14ac:dyDescent="0.2">
      <c r="A25" s="14">
        <v>23</v>
      </c>
      <c r="B25" s="14" t="s">
        <v>143</v>
      </c>
      <c r="C25" t="s">
        <v>185</v>
      </c>
      <c r="D25" s="15" t="str">
        <f t="shared" si="0"/>
        <v>&lt;tr&gt;&lt;td&gt;23日(木)&lt;/td&gt;&lt;td&gt;臨時休業&lt;/td&gt;&lt;/tr&gt;</v>
      </c>
    </row>
    <row r="26" spans="1:4" x14ac:dyDescent="0.2">
      <c r="A26" s="14">
        <v>24</v>
      </c>
      <c r="B26" s="14" t="s">
        <v>144</v>
      </c>
      <c r="C26" t="s">
        <v>185</v>
      </c>
      <c r="D26" s="15" t="str">
        <f t="shared" si="0"/>
        <v>&lt;tr&gt;&lt;td&gt;24日(金)&lt;/td&gt;&lt;td&gt;臨時休業&lt;/td&gt;&lt;/tr&gt;</v>
      </c>
    </row>
    <row r="27" spans="1:4" x14ac:dyDescent="0.2">
      <c r="A27" s="14">
        <v>25</v>
      </c>
      <c r="B27" s="14" t="s">
        <v>145</v>
      </c>
      <c r="C27" t="s">
        <v>185</v>
      </c>
      <c r="D27" s="15" t="str">
        <f t="shared" si="0"/>
        <v>&lt;tr class='weekend'&gt;&lt;td&gt;25日(土)&lt;/td&gt;&lt;td&gt;臨時休業&lt;/td&gt;&lt;/tr&gt;</v>
      </c>
    </row>
    <row r="28" spans="1:4" x14ac:dyDescent="0.2">
      <c r="A28" s="14">
        <v>26</v>
      </c>
      <c r="B28" s="14" t="s">
        <v>146</v>
      </c>
      <c r="C28" t="s">
        <v>185</v>
      </c>
      <c r="D28" s="15" t="str">
        <f t="shared" si="0"/>
        <v>&lt;tr class='weekend'&gt;&lt;td&gt;26日(日)&lt;/td&gt;&lt;td&gt;臨時休業&lt;/td&gt;&lt;/tr&gt;</v>
      </c>
    </row>
    <row r="29" spans="1:4" x14ac:dyDescent="0.2">
      <c r="A29" s="14">
        <v>27</v>
      </c>
      <c r="B29" s="14" t="s">
        <v>107</v>
      </c>
      <c r="C29" t="s">
        <v>185</v>
      </c>
      <c r="D29" s="15" t="str">
        <f t="shared" si="0"/>
        <v>&lt;tr&gt;&lt;td&gt;27日(月)&lt;/td&gt;&lt;td&gt;臨時休業&lt;/td&gt;&lt;/tr&gt;</v>
      </c>
    </row>
    <row r="30" spans="1:4" x14ac:dyDescent="0.2">
      <c r="A30" s="14">
        <v>28</v>
      </c>
      <c r="B30" s="14" t="s">
        <v>141</v>
      </c>
      <c r="C30" t="s">
        <v>185</v>
      </c>
      <c r="D30" s="15" t="str">
        <f t="shared" si="0"/>
        <v>&lt;tr&gt;&lt;td&gt;28日(火)&lt;/td&gt;&lt;td&gt;臨時休業&lt;/td&gt;&lt;/tr&gt;</v>
      </c>
    </row>
    <row r="31" spans="1:4" x14ac:dyDescent="0.2">
      <c r="A31" s="14">
        <v>29</v>
      </c>
      <c r="B31" s="14" t="s">
        <v>142</v>
      </c>
      <c r="C31" t="s">
        <v>185</v>
      </c>
      <c r="D31" s="15" t="str">
        <f t="shared" si="0"/>
        <v>&lt;tr&gt;&lt;td&gt;29日(水)&lt;/td&gt;&lt;td&gt;臨時休業&lt;/td&gt;&lt;/tr&gt;</v>
      </c>
    </row>
    <row r="32" spans="1:4" x14ac:dyDescent="0.2">
      <c r="A32" s="14">
        <v>30</v>
      </c>
      <c r="B32" s="14" t="s">
        <v>143</v>
      </c>
      <c r="C32" t="s">
        <v>185</v>
      </c>
      <c r="D32" s="15" t="str">
        <f t="shared" si="0"/>
        <v>&lt;tr&gt;&lt;td&gt;30日(木)&lt;/td&gt;&lt;td&gt;臨時休業&lt;/td&gt;&lt;/tr&gt;</v>
      </c>
    </row>
    <row r="33" spans="1:4" x14ac:dyDescent="0.2">
      <c r="A33" s="14">
        <v>31</v>
      </c>
      <c r="B33" s="14" t="s">
        <v>144</v>
      </c>
      <c r="C33" t="s">
        <v>185</v>
      </c>
      <c r="D33" s="15" t="str">
        <f t="shared" si="0"/>
        <v>&lt;tr&gt;&lt;td&gt;31日(金)&lt;/td&gt;&lt;td&gt;臨時休業&lt;/td&gt;&lt;/tr&gt;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32"/>
  <sheetViews>
    <sheetView workbookViewId="0">
      <selection activeCell="A34" sqref="A34"/>
    </sheetView>
  </sheetViews>
  <sheetFormatPr defaultRowHeight="13.2" x14ac:dyDescent="0.2"/>
  <cols>
    <col min="1" max="1" width="41.33203125" bestFit="1" customWidth="1"/>
    <col min="2" max="2" width="3.6640625" style="7" hidden="1" customWidth="1"/>
    <col min="3" max="3" width="5.33203125" style="7" hidden="1" customWidth="1"/>
    <col min="4" max="4" width="5.21875" style="2" hidden="1" customWidth="1"/>
    <col min="5" max="5" width="7.109375" style="2" hidden="1" customWidth="1"/>
    <col min="6" max="6" width="10.6640625" style="2" hidden="1" customWidth="1"/>
    <col min="7" max="7" width="16.6640625" style="2" hidden="1" customWidth="1"/>
    <col min="8" max="8" width="5.21875" style="2" hidden="1" customWidth="1"/>
    <col min="9" max="11" width="7.109375" style="2" hidden="1" customWidth="1"/>
    <col min="12" max="12" width="8.21875" style="2" hidden="1" customWidth="1"/>
    <col min="13" max="13" width="7.109375" style="2" hidden="1" customWidth="1"/>
    <col min="14" max="14" width="10.6640625" style="2" hidden="1" customWidth="1"/>
    <col min="15" max="15" width="33.21875" style="2" hidden="1" customWidth="1"/>
    <col min="16" max="16" width="33.33203125" style="2" hidden="1" customWidth="1"/>
    <col min="17" max="17" width="50.109375" style="6" customWidth="1"/>
    <col min="18" max="18" width="114.77734375" bestFit="1" customWidth="1"/>
  </cols>
  <sheetData>
    <row r="1" spans="1:18" ht="27" customHeight="1" x14ac:dyDescent="0.2">
      <c r="A1" s="3" t="s">
        <v>31</v>
      </c>
      <c r="D1" s="1" t="s">
        <v>33</v>
      </c>
      <c r="E1" s="1" t="s">
        <v>34</v>
      </c>
      <c r="F1" s="1" t="s">
        <v>35</v>
      </c>
      <c r="G1" s="1" t="s">
        <v>32</v>
      </c>
      <c r="H1" s="1" t="s">
        <v>33</v>
      </c>
      <c r="I1" s="1" t="s">
        <v>34</v>
      </c>
      <c r="J1" s="1"/>
      <c r="K1" s="1" t="s">
        <v>41</v>
      </c>
      <c r="L1" s="1"/>
      <c r="M1" s="1"/>
      <c r="N1" s="1"/>
      <c r="O1" s="1" t="s">
        <v>32</v>
      </c>
      <c r="P1" s="1"/>
      <c r="Q1" s="5" t="s">
        <v>63</v>
      </c>
    </row>
    <row r="2" spans="1:18" x14ac:dyDescent="0.2">
      <c r="A2" t="s">
        <v>0</v>
      </c>
      <c r="B2" s="7" t="str">
        <f>MID(A2,1,1)</f>
        <v>1</v>
      </c>
      <c r="C2" s="7" t="str">
        <f>B2&amp;IF(OR(MOD(B2,100)={11,12,13}),"th",CHOOSE(MIN(5,RIGHT(B2)+1),"th","st","nd","rd","th"))</f>
        <v>1st</v>
      </c>
      <c r="D2" s="2">
        <v>1</v>
      </c>
      <c r="E2" s="2">
        <v>2</v>
      </c>
      <c r="F2" s="2" t="str">
        <f>C2&amp;"("</f>
        <v>1st(</v>
      </c>
      <c r="G2" s="2" t="str">
        <f t="shared" ref="G2:G32" si="0">REPLACE(A2,D2,E2,F2)</f>
        <v>1st(月曜 柘榴</v>
      </c>
      <c r="H2" s="2">
        <v>5</v>
      </c>
      <c r="I2" s="2">
        <v>1</v>
      </c>
      <c r="J2" s="2">
        <v>2</v>
      </c>
      <c r="K2" s="2" t="str">
        <f>MID(G2, H2, I2)</f>
        <v>月</v>
      </c>
      <c r="L2" s="2" t="s">
        <v>42</v>
      </c>
      <c r="M2" s="2" t="str">
        <f>IF(K2="月", "Mon", IF(K2="火", "Tue", IF(K2="水", "Wed", IF(K2="木", "Thu", IF(K2="金", "Fri", IF(K2="土", "Sat", IF(K2="日", "Sun")))))))</f>
        <v>Mon</v>
      </c>
      <c r="N2" s="2" t="s">
        <v>37</v>
      </c>
      <c r="O2" s="2" t="str">
        <f>REPLACE(G2,H2,J2,M2&amp;N2)</f>
        <v>1st(Mon)&lt;/td&gt;&lt;td&gt; 柘榴</v>
      </c>
      <c r="P2" s="2" t="str">
        <f>IF(OR(K2="土", K2="日"), "&lt;tr class='weekend'&gt;&lt;td&gt;"&amp;O2, "&lt;tr&gt;&lt;td&gt;"&amp;O2)</f>
        <v>&lt;tr&gt;&lt;td&gt;1st(Mon)&lt;/td&gt;&lt;td&gt; 柘榴</v>
      </c>
      <c r="Q2" s="6" t="str">
        <f>IF(K2="日", P2&amp;"&lt;span class='event_font'&gt;&amp;nbsp&amp;nbsp"&amp;"Half Hourly Charge!&lt;/span&gt;&lt;/td&gt;&lt;/tr&gt;",P2&amp;"&lt;/td&gt;&lt;/tr&gt;")</f>
        <v>&lt;tr&gt;&lt;td&gt;1st(Mon)&lt;/td&gt;&lt;td&gt; 柘榴&lt;/td&gt;&lt;/tr&gt;</v>
      </c>
      <c r="R2" t="s">
        <v>43</v>
      </c>
    </row>
    <row r="3" spans="1:18" x14ac:dyDescent="0.2">
      <c r="A3" t="s">
        <v>1</v>
      </c>
      <c r="B3" s="7" t="str">
        <f t="shared" ref="B3:B10" si="1">MID(A3,1,1)</f>
        <v>2</v>
      </c>
      <c r="C3" s="7" t="str">
        <f>B3&amp;IF(OR(MOD(B3,100)={11,12,13}),"th",CHOOSE(MIN(5,RIGHT(B3)+1),"th","st","nd","rd","th"))</f>
        <v>2nd</v>
      </c>
      <c r="D3" s="2">
        <v>1</v>
      </c>
      <c r="E3" s="2">
        <v>2</v>
      </c>
      <c r="F3" s="2" t="str">
        <f t="shared" ref="F3:F32" si="2">C3&amp;"("</f>
        <v>2nd(</v>
      </c>
      <c r="G3" s="2" t="str">
        <f t="shared" si="0"/>
        <v>2nd(火曜 イリヤ</v>
      </c>
      <c r="H3" s="2">
        <v>5</v>
      </c>
      <c r="I3" s="2">
        <v>1</v>
      </c>
      <c r="J3" s="2">
        <v>2</v>
      </c>
      <c r="K3" s="2" t="str">
        <f t="shared" ref="K3:K10" si="3">MID(G3, H3, I3)</f>
        <v>火</v>
      </c>
      <c r="L3" s="2" t="s">
        <v>42</v>
      </c>
      <c r="M3" s="2" t="str">
        <f t="shared" ref="M3:M32" si="4">IF(K3="月", "Mon", IF(K3="火", "Tue", IF(K3="水", "Wed", IF(K3="木", "Thu", IF(K3="金", "Fri", IF(K3="土", "Sat", IF(K3="日", "Sun")))))))</f>
        <v>Tue</v>
      </c>
      <c r="N3" s="2" t="s">
        <v>37</v>
      </c>
      <c r="O3" s="2" t="str">
        <f t="shared" ref="O3:O32" si="5">REPLACE(G3,H3,J3,M3&amp;N3)</f>
        <v>2nd(Tue)&lt;/td&gt;&lt;td&gt; イリヤ</v>
      </c>
      <c r="P3" s="2" t="str">
        <f t="shared" ref="P3:P32" si="6">IF(OR(K3="土", K3="日"), "&lt;tr class='weekend'&gt;&lt;td&gt;"&amp;O3, "&lt;tr&gt;&lt;td&gt;"&amp;O3)</f>
        <v>&lt;tr&gt;&lt;td&gt;2nd(Tue)&lt;/td&gt;&lt;td&gt; イリヤ</v>
      </c>
      <c r="Q3" s="6" t="str">
        <f t="shared" ref="Q3:Q32" si="7">IF(K3="日", P3&amp;"&lt;span class='event_font'&gt;&amp;nbsp&amp;nbsp"&amp;"Half Hourly Charge!&lt;/span&gt;&lt;/td&gt;&lt;/tr&gt;",P3&amp;"&lt;/td&gt;&lt;/tr&gt;")</f>
        <v>&lt;tr&gt;&lt;td&gt;2nd(Tue)&lt;/td&gt;&lt;td&gt; イリヤ&lt;/td&gt;&lt;/tr&gt;</v>
      </c>
      <c r="R3" t="s">
        <v>44</v>
      </c>
    </row>
    <row r="4" spans="1:18" x14ac:dyDescent="0.2">
      <c r="A4" t="s">
        <v>2</v>
      </c>
      <c r="B4" s="7" t="str">
        <f t="shared" si="1"/>
        <v>3</v>
      </c>
      <c r="C4" s="7" t="str">
        <f>B4&amp;IF(OR(MOD(B4,100)={11,12,13}),"th",CHOOSE(MIN(5,RIGHT(B4)+1),"th","st","nd","rd","th"))</f>
        <v>3rd</v>
      </c>
      <c r="D4" s="2">
        <v>1</v>
      </c>
      <c r="E4" s="2">
        <v>2</v>
      </c>
      <c r="F4" s="2" t="str">
        <f t="shared" si="2"/>
        <v>3rd(</v>
      </c>
      <c r="G4" s="2" t="str">
        <f t="shared" si="0"/>
        <v>3rd(水曜 カナ</v>
      </c>
      <c r="H4" s="2">
        <v>5</v>
      </c>
      <c r="I4" s="2">
        <v>1</v>
      </c>
      <c r="J4" s="2">
        <v>2</v>
      </c>
      <c r="K4" s="2" t="str">
        <f t="shared" si="3"/>
        <v>水</v>
      </c>
      <c r="L4" s="2" t="s">
        <v>42</v>
      </c>
      <c r="M4" s="2" t="str">
        <f t="shared" si="4"/>
        <v>Wed</v>
      </c>
      <c r="N4" s="2" t="s">
        <v>37</v>
      </c>
      <c r="O4" s="2" t="str">
        <f t="shared" si="5"/>
        <v>3rd(Wed)&lt;/td&gt;&lt;td&gt; カナ</v>
      </c>
      <c r="P4" s="2" t="str">
        <f t="shared" si="6"/>
        <v>&lt;tr&gt;&lt;td&gt;3rd(Wed)&lt;/td&gt;&lt;td&gt; カナ</v>
      </c>
      <c r="Q4" s="6" t="str">
        <f t="shared" si="7"/>
        <v>&lt;tr&gt;&lt;td&gt;3rd(Wed)&lt;/td&gt;&lt;td&gt; カナ&lt;/td&gt;&lt;/tr&gt;</v>
      </c>
      <c r="R4" t="s">
        <v>45</v>
      </c>
    </row>
    <row r="5" spans="1:18" x14ac:dyDescent="0.2">
      <c r="A5" t="s">
        <v>3</v>
      </c>
      <c r="B5" s="7" t="str">
        <f t="shared" si="1"/>
        <v>4</v>
      </c>
      <c r="C5" s="7" t="str">
        <f>B5&amp;IF(OR(MOD(B5,100)={11,12,13}),"th",CHOOSE(MIN(5,RIGHT(B5)+1),"th","st","nd","rd","th"))</f>
        <v>4th</v>
      </c>
      <c r="D5" s="2">
        <v>1</v>
      </c>
      <c r="E5" s="2">
        <v>2</v>
      </c>
      <c r="F5" s="2" t="str">
        <f t="shared" si="2"/>
        <v>4th(</v>
      </c>
      <c r="G5" s="2" t="str">
        <f t="shared" si="0"/>
        <v>4th(木曜 柘榴</v>
      </c>
      <c r="H5" s="2">
        <v>5</v>
      </c>
      <c r="I5" s="2">
        <v>1</v>
      </c>
      <c r="J5" s="2">
        <v>2</v>
      </c>
      <c r="K5" s="2" t="str">
        <f t="shared" si="3"/>
        <v>木</v>
      </c>
      <c r="L5" s="2" t="s">
        <v>42</v>
      </c>
      <c r="M5" s="2" t="str">
        <f t="shared" si="4"/>
        <v>Thu</v>
      </c>
      <c r="N5" s="2" t="s">
        <v>37</v>
      </c>
      <c r="O5" s="2" t="str">
        <f t="shared" si="5"/>
        <v>4th(Thu)&lt;/td&gt;&lt;td&gt; 柘榴</v>
      </c>
      <c r="P5" s="2" t="str">
        <f t="shared" si="6"/>
        <v>&lt;tr&gt;&lt;td&gt;4th(Thu)&lt;/td&gt;&lt;td&gt; 柘榴</v>
      </c>
      <c r="Q5" s="6" t="str">
        <f t="shared" si="7"/>
        <v>&lt;tr&gt;&lt;td&gt;4th(Thu)&lt;/td&gt;&lt;td&gt; 柘榴&lt;/td&gt;&lt;/tr&gt;</v>
      </c>
      <c r="R5" t="s">
        <v>46</v>
      </c>
    </row>
    <row r="6" spans="1:18" x14ac:dyDescent="0.2">
      <c r="A6" t="s">
        <v>4</v>
      </c>
      <c r="B6" s="7" t="str">
        <f t="shared" si="1"/>
        <v>5</v>
      </c>
      <c r="C6" s="7" t="str">
        <f>B6&amp;IF(OR(MOD(B6,100)={11,12,13}),"th",CHOOSE(MIN(5,RIGHT(B6)+1),"th","st","nd","rd","th"))</f>
        <v>5th</v>
      </c>
      <c r="D6" s="2">
        <v>1</v>
      </c>
      <c r="E6" s="2">
        <v>2</v>
      </c>
      <c r="F6" s="2" t="str">
        <f t="shared" si="2"/>
        <v>5th(</v>
      </c>
      <c r="G6" s="2" t="str">
        <f t="shared" si="0"/>
        <v>5th(金曜 美咲</v>
      </c>
      <c r="H6" s="2">
        <v>5</v>
      </c>
      <c r="I6" s="2">
        <v>1</v>
      </c>
      <c r="J6" s="2">
        <v>2</v>
      </c>
      <c r="K6" s="2" t="str">
        <f t="shared" si="3"/>
        <v>金</v>
      </c>
      <c r="L6" s="2" t="s">
        <v>42</v>
      </c>
      <c r="M6" s="2" t="str">
        <f t="shared" si="4"/>
        <v>Fri</v>
      </c>
      <c r="N6" s="2" t="s">
        <v>37</v>
      </c>
      <c r="O6" s="2" t="str">
        <f t="shared" si="5"/>
        <v>5th(Fri)&lt;/td&gt;&lt;td&gt; 美咲</v>
      </c>
      <c r="P6" s="2" t="str">
        <f t="shared" si="6"/>
        <v>&lt;tr&gt;&lt;td&gt;5th(Fri)&lt;/td&gt;&lt;td&gt; 美咲</v>
      </c>
      <c r="Q6" s="6" t="str">
        <f t="shared" si="7"/>
        <v>&lt;tr&gt;&lt;td&gt;5th(Fri)&lt;/td&gt;&lt;td&gt; 美咲&lt;/td&gt;&lt;/tr&gt;</v>
      </c>
      <c r="R6" t="s">
        <v>47</v>
      </c>
    </row>
    <row r="7" spans="1:18" x14ac:dyDescent="0.2">
      <c r="A7" t="s">
        <v>5</v>
      </c>
      <c r="B7" s="7" t="str">
        <f t="shared" si="1"/>
        <v>6</v>
      </c>
      <c r="C7" s="7" t="str">
        <f>B7&amp;IF(OR(MOD(B7,100)={11,12,13}),"th",CHOOSE(MIN(5,RIGHT(B7)+1),"th","st","nd","rd","th"))</f>
        <v>6th</v>
      </c>
      <c r="D7" s="2">
        <v>1</v>
      </c>
      <c r="E7" s="2">
        <v>2</v>
      </c>
      <c r="F7" s="2" t="str">
        <f t="shared" si="2"/>
        <v>6th(</v>
      </c>
      <c r="G7" s="2" t="str">
        <f t="shared" si="0"/>
        <v>6th(土曜 イリヤ</v>
      </c>
      <c r="H7" s="2">
        <v>5</v>
      </c>
      <c r="I7" s="2">
        <v>1</v>
      </c>
      <c r="J7" s="2">
        <v>2</v>
      </c>
      <c r="K7" s="2" t="str">
        <f t="shared" si="3"/>
        <v>土</v>
      </c>
      <c r="L7" s="2" t="s">
        <v>42</v>
      </c>
      <c r="M7" s="2" t="str">
        <f t="shared" si="4"/>
        <v>Sat</v>
      </c>
      <c r="N7" s="2" t="s">
        <v>37</v>
      </c>
      <c r="O7" s="2" t="str">
        <f t="shared" si="5"/>
        <v>6th(Sat)&lt;/td&gt;&lt;td&gt; イリヤ</v>
      </c>
      <c r="P7" s="2" t="str">
        <f t="shared" si="6"/>
        <v>&lt;tr class='weekend'&gt;&lt;td&gt;6th(Sat)&lt;/td&gt;&lt;td&gt; イリヤ</v>
      </c>
      <c r="Q7" s="6" t="str">
        <f t="shared" si="7"/>
        <v>&lt;tr class='weekend'&gt;&lt;td&gt;6th(Sat)&lt;/td&gt;&lt;td&gt; イリヤ&lt;/td&gt;&lt;/tr&gt;</v>
      </c>
      <c r="R7" t="s">
        <v>64</v>
      </c>
    </row>
    <row r="8" spans="1:18" x14ac:dyDescent="0.2">
      <c r="A8" t="s">
        <v>6</v>
      </c>
      <c r="B8" s="7" t="str">
        <f t="shared" si="1"/>
        <v>7</v>
      </c>
      <c r="C8" s="7" t="str">
        <f>B8&amp;IF(OR(MOD(B8,100)={11,12,13}),"th",CHOOSE(MIN(5,RIGHT(B8)+1),"th","st","nd","rd","th"))</f>
        <v>7th</v>
      </c>
      <c r="D8" s="2">
        <v>1</v>
      </c>
      <c r="E8" s="2">
        <v>2</v>
      </c>
      <c r="F8" s="2" t="str">
        <f t="shared" si="2"/>
        <v>7th(</v>
      </c>
      <c r="G8" s="2" t="str">
        <f t="shared" si="0"/>
        <v>7th(日曜 カーマ</v>
      </c>
      <c r="H8" s="2">
        <v>5</v>
      </c>
      <c r="I8" s="2">
        <v>1</v>
      </c>
      <c r="J8" s="2">
        <v>2</v>
      </c>
      <c r="K8" s="2" t="str">
        <f t="shared" si="3"/>
        <v>日</v>
      </c>
      <c r="L8" s="2" t="s">
        <v>42</v>
      </c>
      <c r="M8" s="2" t="str">
        <f t="shared" si="4"/>
        <v>Sun</v>
      </c>
      <c r="N8" s="2" t="s">
        <v>37</v>
      </c>
      <c r="O8" s="2" t="str">
        <f t="shared" si="5"/>
        <v>7th(Sun)&lt;/td&gt;&lt;td&gt; カーマ</v>
      </c>
      <c r="P8" s="2" t="str">
        <f t="shared" si="6"/>
        <v>&lt;tr class='weekend'&gt;&lt;td&gt;7th(Sun)&lt;/td&gt;&lt;td&gt; カーマ</v>
      </c>
      <c r="Q8" s="6" t="str">
        <f t="shared" si="7"/>
        <v>&lt;tr class='weekend'&gt;&lt;td&gt;7th(Sun)&lt;/td&gt;&lt;td&gt; カーマ&lt;span class='event_font'&gt;&amp;nbsp&amp;nbspHalf Hourly Charge!&lt;/span&gt;&lt;/td&gt;&lt;/tr&gt;</v>
      </c>
      <c r="R8" t="s">
        <v>65</v>
      </c>
    </row>
    <row r="9" spans="1:18" x14ac:dyDescent="0.2">
      <c r="A9" t="s">
        <v>7</v>
      </c>
      <c r="B9" s="7" t="str">
        <f t="shared" si="1"/>
        <v>8</v>
      </c>
      <c r="C9" s="7" t="str">
        <f>B9&amp;IF(OR(MOD(B9,100)={11,12,13}),"th",CHOOSE(MIN(5,RIGHT(B9)+1),"th","st","nd","rd","th"))</f>
        <v>8th</v>
      </c>
      <c r="D9" s="2">
        <v>1</v>
      </c>
      <c r="E9" s="2">
        <v>2</v>
      </c>
      <c r="F9" s="2" t="str">
        <f t="shared" si="2"/>
        <v>8th(</v>
      </c>
      <c r="G9" s="2" t="str">
        <f t="shared" si="0"/>
        <v>8th(月曜 カーマ</v>
      </c>
      <c r="H9" s="2">
        <v>5</v>
      </c>
      <c r="I9" s="2">
        <v>1</v>
      </c>
      <c r="J9" s="2">
        <v>2</v>
      </c>
      <c r="K9" s="2" t="str">
        <f t="shared" si="3"/>
        <v>月</v>
      </c>
      <c r="L9" s="2" t="s">
        <v>42</v>
      </c>
      <c r="M9" s="2" t="str">
        <f t="shared" si="4"/>
        <v>Mon</v>
      </c>
      <c r="N9" s="2" t="s">
        <v>37</v>
      </c>
      <c r="O9" s="2" t="str">
        <f t="shared" si="5"/>
        <v>8th(Mon)&lt;/td&gt;&lt;td&gt; カーマ</v>
      </c>
      <c r="P9" s="2" t="str">
        <f t="shared" si="6"/>
        <v>&lt;tr&gt;&lt;td&gt;8th(Mon)&lt;/td&gt;&lt;td&gt; カーマ</v>
      </c>
      <c r="Q9" s="6" t="str">
        <f t="shared" si="7"/>
        <v>&lt;tr&gt;&lt;td&gt;8th(Mon)&lt;/td&gt;&lt;td&gt; カーマ&lt;/td&gt;&lt;/tr&gt;</v>
      </c>
      <c r="R9" t="s">
        <v>48</v>
      </c>
    </row>
    <row r="10" spans="1:18" x14ac:dyDescent="0.2">
      <c r="A10" t="s">
        <v>8</v>
      </c>
      <c r="B10" s="7" t="str">
        <f t="shared" si="1"/>
        <v>9</v>
      </c>
      <c r="C10" s="7" t="str">
        <f>B10&amp;IF(OR(MOD(B10,100)={11,12,13}),"th",CHOOSE(MIN(5,RIGHT(B10)+1),"th","st","nd","rd","th"))</f>
        <v>9th</v>
      </c>
      <c r="D10" s="2">
        <v>1</v>
      </c>
      <c r="E10" s="2">
        <v>2</v>
      </c>
      <c r="F10" s="2" t="str">
        <f t="shared" si="2"/>
        <v>9th(</v>
      </c>
      <c r="G10" s="2" t="str">
        <f t="shared" si="0"/>
        <v>9th(火曜 カナ</v>
      </c>
      <c r="H10" s="2">
        <v>5</v>
      </c>
      <c r="I10" s="2">
        <v>1</v>
      </c>
      <c r="J10" s="2">
        <v>2</v>
      </c>
      <c r="K10" s="2" t="str">
        <f t="shared" si="3"/>
        <v>火</v>
      </c>
      <c r="L10" s="2" t="s">
        <v>42</v>
      </c>
      <c r="M10" s="2" t="str">
        <f t="shared" si="4"/>
        <v>Tue</v>
      </c>
      <c r="N10" s="2" t="s">
        <v>37</v>
      </c>
      <c r="O10" s="2" t="str">
        <f t="shared" si="5"/>
        <v>9th(Tue)&lt;/td&gt;&lt;td&gt; カナ</v>
      </c>
      <c r="P10" s="2" t="str">
        <f t="shared" si="6"/>
        <v>&lt;tr&gt;&lt;td&gt;9th(Tue)&lt;/td&gt;&lt;td&gt; カナ</v>
      </c>
      <c r="Q10" s="6" t="str">
        <f t="shared" si="7"/>
        <v>&lt;tr&gt;&lt;td&gt;9th(Tue)&lt;/td&gt;&lt;td&gt; カナ&lt;/td&gt;&lt;/tr&gt;</v>
      </c>
      <c r="R10" t="s">
        <v>49</v>
      </c>
    </row>
    <row r="11" spans="1:18" x14ac:dyDescent="0.2">
      <c r="A11" t="s">
        <v>9</v>
      </c>
      <c r="B11" s="7" t="str">
        <f>MID(A11,1,2)</f>
        <v>10</v>
      </c>
      <c r="C11" s="7" t="str">
        <f>B11&amp;IF(OR(MOD(B11,100)={11,12,13}),"th",CHOOSE(MIN(5,RIGHT(B11)+1),"th","st","nd","rd","th"))</f>
        <v>10th</v>
      </c>
      <c r="D11" s="2">
        <v>1</v>
      </c>
      <c r="E11" s="2">
        <v>3</v>
      </c>
      <c r="F11" s="2" t="str">
        <f t="shared" si="2"/>
        <v>10th(</v>
      </c>
      <c r="G11" s="2" t="str">
        <f t="shared" si="0"/>
        <v>10th(水曜 未定</v>
      </c>
      <c r="H11" s="2">
        <v>6</v>
      </c>
      <c r="I11" s="2">
        <v>1</v>
      </c>
      <c r="J11" s="2">
        <v>2</v>
      </c>
      <c r="K11" s="2" t="str">
        <f>MID(G11, H11, I11)</f>
        <v>水</v>
      </c>
      <c r="L11" s="2" t="s">
        <v>42</v>
      </c>
      <c r="M11" s="2" t="str">
        <f t="shared" si="4"/>
        <v>Wed</v>
      </c>
      <c r="N11" s="2" t="s">
        <v>37</v>
      </c>
      <c r="O11" s="2" t="str">
        <f t="shared" si="5"/>
        <v>10th(Wed)&lt;/td&gt;&lt;td&gt; 未定</v>
      </c>
      <c r="P11" s="2" t="str">
        <f t="shared" si="6"/>
        <v>&lt;tr&gt;&lt;td&gt;10th(Wed)&lt;/td&gt;&lt;td&gt; 未定</v>
      </c>
      <c r="Q11" s="6" t="str">
        <f t="shared" si="7"/>
        <v>&lt;tr&gt;&lt;td&gt;10th(Wed)&lt;/td&gt;&lt;td&gt; 未定&lt;/td&gt;&lt;/tr&gt;</v>
      </c>
      <c r="R11" t="s">
        <v>73</v>
      </c>
    </row>
    <row r="12" spans="1:18" x14ac:dyDescent="0.2">
      <c r="A12" t="s">
        <v>10</v>
      </c>
      <c r="B12" s="7" t="str">
        <f t="shared" ref="B12:B32" si="8">MID(A12,1,2)</f>
        <v>11</v>
      </c>
      <c r="C12" s="7" t="str">
        <f>B12&amp;IF(OR(MOD(B12,100)={11,12,13}),"th",CHOOSE(MIN(5,RIGHT(B12)+1),"th","st","nd","rd","th"))</f>
        <v>11th</v>
      </c>
      <c r="D12" s="2">
        <v>1</v>
      </c>
      <c r="E12" s="2">
        <v>3</v>
      </c>
      <c r="F12" s="2" t="str">
        <f t="shared" si="2"/>
        <v>11th(</v>
      </c>
      <c r="G12" s="2" t="str">
        <f t="shared" si="0"/>
        <v>11th(木曜 イリヤ</v>
      </c>
      <c r="H12" s="2">
        <v>6</v>
      </c>
      <c r="I12" s="2">
        <v>1</v>
      </c>
      <c r="J12" s="2">
        <v>2</v>
      </c>
      <c r="K12" s="2" t="str">
        <f t="shared" ref="K12:K32" si="9">MID(G12, H12, I12)</f>
        <v>木</v>
      </c>
      <c r="L12" s="2" t="s">
        <v>42</v>
      </c>
      <c r="M12" s="2" t="str">
        <f t="shared" si="4"/>
        <v>Thu</v>
      </c>
      <c r="N12" s="2" t="s">
        <v>37</v>
      </c>
      <c r="O12" s="2" t="str">
        <f t="shared" si="5"/>
        <v>11th(Thu)&lt;/td&gt;&lt;td&gt; イリヤ</v>
      </c>
      <c r="P12" s="2" t="str">
        <f t="shared" si="6"/>
        <v>&lt;tr&gt;&lt;td&gt;11th(Thu)&lt;/td&gt;&lt;td&gt; イリヤ</v>
      </c>
      <c r="Q12" s="6" t="str">
        <f t="shared" si="7"/>
        <v>&lt;tr&gt;&lt;td&gt;11th(Thu)&lt;/td&gt;&lt;td&gt; イリヤ&lt;/td&gt;&lt;/tr&gt;</v>
      </c>
      <c r="R12" t="s">
        <v>50</v>
      </c>
    </row>
    <row r="13" spans="1:18" x14ac:dyDescent="0.2">
      <c r="A13" t="s">
        <v>11</v>
      </c>
      <c r="B13" s="7" t="str">
        <f t="shared" si="8"/>
        <v>12</v>
      </c>
      <c r="C13" s="7" t="str">
        <f>B13&amp;IF(OR(MOD(B13,100)={11,12,13}),"th",CHOOSE(MIN(5,RIGHT(B13)+1),"th","st","nd","rd","th"))</f>
        <v>12th</v>
      </c>
      <c r="D13" s="2">
        <v>1</v>
      </c>
      <c r="E13" s="2">
        <v>3</v>
      </c>
      <c r="F13" s="2" t="str">
        <f t="shared" si="2"/>
        <v>12th(</v>
      </c>
      <c r="G13" s="2" t="str">
        <f t="shared" si="0"/>
        <v>12th(金曜 美咲</v>
      </c>
      <c r="H13" s="2">
        <v>6</v>
      </c>
      <c r="I13" s="2">
        <v>1</v>
      </c>
      <c r="J13" s="2">
        <v>2</v>
      </c>
      <c r="K13" s="2" t="str">
        <f t="shared" si="9"/>
        <v>金</v>
      </c>
      <c r="L13" s="2" t="s">
        <v>42</v>
      </c>
      <c r="M13" s="2" t="str">
        <f t="shared" si="4"/>
        <v>Fri</v>
      </c>
      <c r="N13" s="2" t="s">
        <v>37</v>
      </c>
      <c r="O13" s="2" t="str">
        <f t="shared" si="5"/>
        <v>12th(Fri)&lt;/td&gt;&lt;td&gt; 美咲</v>
      </c>
      <c r="P13" s="2" t="str">
        <f t="shared" si="6"/>
        <v>&lt;tr&gt;&lt;td&gt;12th(Fri)&lt;/td&gt;&lt;td&gt; 美咲</v>
      </c>
      <c r="Q13" s="6" t="str">
        <f t="shared" si="7"/>
        <v>&lt;tr&gt;&lt;td&gt;12th(Fri)&lt;/td&gt;&lt;td&gt; 美咲&lt;/td&gt;&lt;/tr&gt;</v>
      </c>
      <c r="R13" t="s">
        <v>51</v>
      </c>
    </row>
    <row r="14" spans="1:18" x14ac:dyDescent="0.2">
      <c r="A14" t="s">
        <v>12</v>
      </c>
      <c r="B14" s="7" t="str">
        <f t="shared" si="8"/>
        <v>13</v>
      </c>
      <c r="C14" s="7" t="str">
        <f>B14&amp;IF(OR(MOD(B14,100)={11,12,13}),"th",CHOOSE(MIN(5,RIGHT(B14)+1),"th","st","nd","rd","th"))</f>
        <v>13th</v>
      </c>
      <c r="D14" s="2">
        <v>1</v>
      </c>
      <c r="E14" s="2">
        <v>3</v>
      </c>
      <c r="F14" s="2" t="str">
        <f t="shared" si="2"/>
        <v>13th(</v>
      </c>
      <c r="G14" s="2" t="str">
        <f t="shared" si="0"/>
        <v>13th(土曜 美咲、イリヤ</v>
      </c>
      <c r="H14" s="2">
        <v>6</v>
      </c>
      <c r="I14" s="2">
        <v>1</v>
      </c>
      <c r="J14" s="2">
        <v>2</v>
      </c>
      <c r="K14" s="2" t="str">
        <f t="shared" si="9"/>
        <v>土</v>
      </c>
      <c r="L14" s="2" t="s">
        <v>42</v>
      </c>
      <c r="M14" s="2" t="str">
        <f t="shared" si="4"/>
        <v>Sat</v>
      </c>
      <c r="N14" s="2" t="s">
        <v>37</v>
      </c>
      <c r="O14" s="2" t="str">
        <f t="shared" si="5"/>
        <v>13th(Sat)&lt;/td&gt;&lt;td&gt; 美咲、イリヤ</v>
      </c>
      <c r="P14" s="2" t="str">
        <f t="shared" si="6"/>
        <v>&lt;tr class='weekend'&gt;&lt;td&gt;13th(Sat)&lt;/td&gt;&lt;td&gt; 美咲、イリヤ</v>
      </c>
      <c r="Q14" s="6" t="str">
        <f t="shared" si="7"/>
        <v>&lt;tr class='weekend'&gt;&lt;td&gt;13th(Sat)&lt;/td&gt;&lt;td&gt; 美咲、イリヤ&lt;/td&gt;&lt;/tr&gt;</v>
      </c>
      <c r="R14" t="s">
        <v>66</v>
      </c>
    </row>
    <row r="15" spans="1:18" x14ac:dyDescent="0.2">
      <c r="A15" t="s">
        <v>13</v>
      </c>
      <c r="B15" s="7" t="str">
        <f t="shared" si="8"/>
        <v>14</v>
      </c>
      <c r="C15" s="7" t="str">
        <f>B15&amp;IF(OR(MOD(B15,100)={11,12,13}),"th",CHOOSE(MIN(5,RIGHT(B15)+1),"th","st","nd","rd","th"))</f>
        <v>14th</v>
      </c>
      <c r="D15" s="2">
        <v>1</v>
      </c>
      <c r="E15" s="2">
        <v>3</v>
      </c>
      <c r="F15" s="2" t="str">
        <f t="shared" si="2"/>
        <v>14th(</v>
      </c>
      <c r="G15" s="2" t="str">
        <f t="shared" si="0"/>
        <v>14th(日曜 柘榴</v>
      </c>
      <c r="H15" s="2">
        <v>6</v>
      </c>
      <c r="I15" s="2">
        <v>1</v>
      </c>
      <c r="J15" s="2">
        <v>2</v>
      </c>
      <c r="K15" s="2" t="str">
        <f t="shared" si="9"/>
        <v>日</v>
      </c>
      <c r="L15" s="2" t="s">
        <v>42</v>
      </c>
      <c r="M15" s="2" t="str">
        <f t="shared" si="4"/>
        <v>Sun</v>
      </c>
      <c r="N15" s="2" t="s">
        <v>37</v>
      </c>
      <c r="O15" s="2" t="str">
        <f t="shared" si="5"/>
        <v>14th(Sun)&lt;/td&gt;&lt;td&gt; 柘榴</v>
      </c>
      <c r="P15" s="2" t="str">
        <f t="shared" si="6"/>
        <v>&lt;tr class='weekend'&gt;&lt;td&gt;14th(Sun)&lt;/td&gt;&lt;td&gt; 柘榴</v>
      </c>
      <c r="Q15" s="6" t="str">
        <f t="shared" si="7"/>
        <v>&lt;tr class='weekend'&gt;&lt;td&gt;14th(Sun)&lt;/td&gt;&lt;td&gt; 柘榴&lt;span class='event_font'&gt;&amp;nbsp&amp;nbspHalf Hourly Charge!&lt;/span&gt;&lt;/td&gt;&lt;/tr&gt;</v>
      </c>
      <c r="R15" t="s">
        <v>67</v>
      </c>
    </row>
    <row r="16" spans="1:18" x14ac:dyDescent="0.2">
      <c r="A16" t="s">
        <v>14</v>
      </c>
      <c r="B16" s="7" t="str">
        <f t="shared" si="8"/>
        <v>15</v>
      </c>
      <c r="C16" s="7" t="str">
        <f>B16&amp;IF(OR(MOD(B16,100)={11,12,13}),"th",CHOOSE(MIN(5,RIGHT(B16)+1),"th","st","nd","rd","th"))</f>
        <v>15th</v>
      </c>
      <c r="D16" s="2">
        <v>1</v>
      </c>
      <c r="E16" s="2">
        <v>3</v>
      </c>
      <c r="F16" s="2" t="str">
        <f t="shared" si="2"/>
        <v>15th(</v>
      </c>
      <c r="G16" s="2" t="str">
        <f t="shared" si="0"/>
        <v>15th(月曜 休み</v>
      </c>
      <c r="H16" s="2">
        <v>6</v>
      </c>
      <c r="I16" s="2">
        <v>1</v>
      </c>
      <c r="J16" s="2">
        <v>2</v>
      </c>
      <c r="K16" s="2" t="str">
        <f t="shared" si="9"/>
        <v>月</v>
      </c>
      <c r="L16" s="2" t="s">
        <v>42</v>
      </c>
      <c r="M16" s="2" t="str">
        <f t="shared" si="4"/>
        <v>Mon</v>
      </c>
      <c r="N16" s="2" t="s">
        <v>37</v>
      </c>
      <c r="O16" s="2" t="str">
        <f t="shared" si="5"/>
        <v>15th(Mon)&lt;/td&gt;&lt;td&gt; 休み</v>
      </c>
      <c r="P16" s="2" t="str">
        <f t="shared" si="6"/>
        <v>&lt;tr&gt;&lt;td&gt;15th(Mon)&lt;/td&gt;&lt;td&gt; 休み</v>
      </c>
      <c r="Q16" s="6" t="str">
        <f t="shared" si="7"/>
        <v>&lt;tr&gt;&lt;td&gt;15th(Mon)&lt;/td&gt;&lt;td&gt; 休み&lt;/td&gt;&lt;/tr&gt;</v>
      </c>
      <c r="R16" t="s">
        <v>71</v>
      </c>
    </row>
    <row r="17" spans="1:18" x14ac:dyDescent="0.2">
      <c r="A17" t="s">
        <v>15</v>
      </c>
      <c r="B17" s="7" t="str">
        <f t="shared" si="8"/>
        <v>16</v>
      </c>
      <c r="C17" s="7" t="str">
        <f>B17&amp;IF(OR(MOD(B17,100)={11,12,13}),"th",CHOOSE(MIN(5,RIGHT(B17)+1),"th","st","nd","rd","th"))</f>
        <v>16th</v>
      </c>
      <c r="D17" s="2">
        <v>1</v>
      </c>
      <c r="E17" s="2">
        <v>3</v>
      </c>
      <c r="F17" s="2" t="str">
        <f t="shared" si="2"/>
        <v>16th(</v>
      </c>
      <c r="G17" s="2" t="str">
        <f t="shared" si="0"/>
        <v>16th(火曜 柘榴</v>
      </c>
      <c r="H17" s="2">
        <v>6</v>
      </c>
      <c r="I17" s="2">
        <v>1</v>
      </c>
      <c r="J17" s="2">
        <v>2</v>
      </c>
      <c r="K17" s="2" t="str">
        <f t="shared" si="9"/>
        <v>火</v>
      </c>
      <c r="L17" s="2" t="s">
        <v>42</v>
      </c>
      <c r="M17" s="2" t="str">
        <f t="shared" si="4"/>
        <v>Tue</v>
      </c>
      <c r="N17" s="2" t="s">
        <v>37</v>
      </c>
      <c r="O17" s="2" t="str">
        <f t="shared" si="5"/>
        <v>16th(Tue)&lt;/td&gt;&lt;td&gt; 柘榴</v>
      </c>
      <c r="P17" s="2" t="str">
        <f t="shared" si="6"/>
        <v>&lt;tr&gt;&lt;td&gt;16th(Tue)&lt;/td&gt;&lt;td&gt; 柘榴</v>
      </c>
      <c r="Q17" s="6" t="str">
        <f t="shared" si="7"/>
        <v>&lt;tr&gt;&lt;td&gt;16th(Tue)&lt;/td&gt;&lt;td&gt; 柘榴&lt;/td&gt;&lt;/tr&gt;</v>
      </c>
      <c r="R17" t="s">
        <v>52</v>
      </c>
    </row>
    <row r="18" spans="1:18" x14ac:dyDescent="0.2">
      <c r="A18" t="s">
        <v>16</v>
      </c>
      <c r="B18" s="7" t="str">
        <f t="shared" si="8"/>
        <v>17</v>
      </c>
      <c r="C18" s="7" t="str">
        <f>B18&amp;IF(OR(MOD(B18,100)={11,12,13}),"th",CHOOSE(MIN(5,RIGHT(B18)+1),"th","st","nd","rd","th"))</f>
        <v>17th</v>
      </c>
      <c r="D18" s="2">
        <v>1</v>
      </c>
      <c r="E18" s="2">
        <v>3</v>
      </c>
      <c r="F18" s="2" t="str">
        <f t="shared" si="2"/>
        <v>17th(</v>
      </c>
      <c r="G18" s="2" t="str">
        <f t="shared" si="0"/>
        <v>17th(水曜 カナ</v>
      </c>
      <c r="H18" s="2">
        <v>6</v>
      </c>
      <c r="I18" s="2">
        <v>1</v>
      </c>
      <c r="J18" s="2">
        <v>2</v>
      </c>
      <c r="K18" s="2" t="str">
        <f t="shared" si="9"/>
        <v>水</v>
      </c>
      <c r="L18" s="2" t="s">
        <v>42</v>
      </c>
      <c r="M18" s="2" t="str">
        <f t="shared" si="4"/>
        <v>Wed</v>
      </c>
      <c r="N18" s="2" t="s">
        <v>37</v>
      </c>
      <c r="O18" s="2" t="str">
        <f t="shared" si="5"/>
        <v>17th(Wed)&lt;/td&gt;&lt;td&gt; カナ</v>
      </c>
      <c r="P18" s="2" t="str">
        <f t="shared" si="6"/>
        <v>&lt;tr&gt;&lt;td&gt;17th(Wed)&lt;/td&gt;&lt;td&gt; カナ</v>
      </c>
      <c r="Q18" s="6" t="str">
        <f t="shared" si="7"/>
        <v>&lt;tr&gt;&lt;td&gt;17th(Wed)&lt;/td&gt;&lt;td&gt; カナ&lt;/td&gt;&lt;/tr&gt;</v>
      </c>
      <c r="R18" t="s">
        <v>53</v>
      </c>
    </row>
    <row r="19" spans="1:18" x14ac:dyDescent="0.2">
      <c r="A19" t="s">
        <v>17</v>
      </c>
      <c r="B19" s="7" t="str">
        <f t="shared" si="8"/>
        <v>18</v>
      </c>
      <c r="C19" s="7" t="str">
        <f>B19&amp;IF(OR(MOD(B19,100)={11,12,13}),"th",CHOOSE(MIN(5,RIGHT(B19)+1),"th","st","nd","rd","th"))</f>
        <v>18th</v>
      </c>
      <c r="D19" s="2">
        <v>1</v>
      </c>
      <c r="E19" s="2">
        <v>3</v>
      </c>
      <c r="F19" s="2" t="str">
        <f t="shared" si="2"/>
        <v>18th(</v>
      </c>
      <c r="G19" s="2" t="str">
        <f t="shared" si="0"/>
        <v>18th(木曜 イリヤ</v>
      </c>
      <c r="H19" s="2">
        <v>6</v>
      </c>
      <c r="I19" s="2">
        <v>1</v>
      </c>
      <c r="J19" s="2">
        <v>2</v>
      </c>
      <c r="K19" s="2" t="str">
        <f t="shared" si="9"/>
        <v>木</v>
      </c>
      <c r="L19" s="2" t="s">
        <v>42</v>
      </c>
      <c r="M19" s="2" t="str">
        <f t="shared" si="4"/>
        <v>Thu</v>
      </c>
      <c r="N19" s="2" t="s">
        <v>37</v>
      </c>
      <c r="O19" s="2" t="str">
        <f t="shared" si="5"/>
        <v>18th(Thu)&lt;/td&gt;&lt;td&gt; イリヤ</v>
      </c>
      <c r="P19" s="2" t="str">
        <f t="shared" si="6"/>
        <v>&lt;tr&gt;&lt;td&gt;18th(Thu)&lt;/td&gt;&lt;td&gt; イリヤ</v>
      </c>
      <c r="Q19" s="6" t="str">
        <f t="shared" si="7"/>
        <v>&lt;tr&gt;&lt;td&gt;18th(Thu)&lt;/td&gt;&lt;td&gt; イリヤ&lt;/td&gt;&lt;/tr&gt;</v>
      </c>
      <c r="R19" t="s">
        <v>54</v>
      </c>
    </row>
    <row r="20" spans="1:18" x14ac:dyDescent="0.2">
      <c r="A20" t="s">
        <v>18</v>
      </c>
      <c r="B20" s="7" t="str">
        <f t="shared" si="8"/>
        <v>19</v>
      </c>
      <c r="C20" s="7" t="str">
        <f>B20&amp;IF(OR(MOD(B20,100)={11,12,13}),"th",CHOOSE(MIN(5,RIGHT(B20)+1),"th","st","nd","rd","th"))</f>
        <v>19th</v>
      </c>
      <c r="D20" s="2">
        <v>1</v>
      </c>
      <c r="E20" s="2">
        <v>3</v>
      </c>
      <c r="F20" s="2" t="str">
        <f t="shared" si="2"/>
        <v>19th(</v>
      </c>
      <c r="G20" s="2" t="str">
        <f t="shared" si="0"/>
        <v>19th(金曜 美咲</v>
      </c>
      <c r="H20" s="2">
        <v>6</v>
      </c>
      <c r="I20" s="2">
        <v>1</v>
      </c>
      <c r="J20" s="2">
        <v>2</v>
      </c>
      <c r="K20" s="2" t="str">
        <f t="shared" si="9"/>
        <v>金</v>
      </c>
      <c r="L20" s="2" t="s">
        <v>42</v>
      </c>
      <c r="M20" s="2" t="str">
        <f t="shared" si="4"/>
        <v>Fri</v>
      </c>
      <c r="N20" s="2" t="s">
        <v>37</v>
      </c>
      <c r="O20" s="2" t="str">
        <f t="shared" si="5"/>
        <v>19th(Fri)&lt;/td&gt;&lt;td&gt; 美咲</v>
      </c>
      <c r="P20" s="2" t="str">
        <f t="shared" si="6"/>
        <v>&lt;tr&gt;&lt;td&gt;19th(Fri)&lt;/td&gt;&lt;td&gt; 美咲</v>
      </c>
      <c r="Q20" s="6" t="str">
        <f t="shared" si="7"/>
        <v>&lt;tr&gt;&lt;td&gt;19th(Fri)&lt;/td&gt;&lt;td&gt; 美咲&lt;/td&gt;&lt;/tr&gt;</v>
      </c>
      <c r="R20" t="s">
        <v>55</v>
      </c>
    </row>
    <row r="21" spans="1:18" x14ac:dyDescent="0.2">
      <c r="A21" t="s">
        <v>19</v>
      </c>
      <c r="B21" s="7" t="str">
        <f t="shared" si="8"/>
        <v>20</v>
      </c>
      <c r="C21" s="7" t="str">
        <f>B21&amp;IF(OR(MOD(B21,100)={11,12,13}),"th",CHOOSE(MIN(5,RIGHT(B21)+1),"th","st","nd","rd","th"))</f>
        <v>20th</v>
      </c>
      <c r="D21" s="2">
        <v>1</v>
      </c>
      <c r="E21" s="2">
        <v>3</v>
      </c>
      <c r="F21" s="2" t="str">
        <f t="shared" si="2"/>
        <v>20th(</v>
      </c>
      <c r="G21" s="2" t="str">
        <f t="shared" si="0"/>
        <v>20th(土曜 美咲、イリヤ</v>
      </c>
      <c r="H21" s="2">
        <v>6</v>
      </c>
      <c r="I21" s="2">
        <v>1</v>
      </c>
      <c r="J21" s="2">
        <v>2</v>
      </c>
      <c r="K21" s="2" t="str">
        <f t="shared" si="9"/>
        <v>土</v>
      </c>
      <c r="L21" s="2" t="s">
        <v>42</v>
      </c>
      <c r="M21" s="2" t="str">
        <f t="shared" si="4"/>
        <v>Sat</v>
      </c>
      <c r="N21" s="2" t="s">
        <v>37</v>
      </c>
      <c r="O21" s="2" t="str">
        <f t="shared" si="5"/>
        <v>20th(Sat)&lt;/td&gt;&lt;td&gt; 美咲、イリヤ</v>
      </c>
      <c r="P21" s="2" t="str">
        <f t="shared" si="6"/>
        <v>&lt;tr class='weekend'&gt;&lt;td&gt;20th(Sat)&lt;/td&gt;&lt;td&gt; 美咲、イリヤ</v>
      </c>
      <c r="Q21" s="6" t="str">
        <f t="shared" si="7"/>
        <v>&lt;tr class='weekend'&gt;&lt;td&gt;20th(Sat)&lt;/td&gt;&lt;td&gt; 美咲、イリヤ&lt;/td&gt;&lt;/tr&gt;</v>
      </c>
      <c r="R21" t="s">
        <v>68</v>
      </c>
    </row>
    <row r="22" spans="1:18" x14ac:dyDescent="0.2">
      <c r="A22" t="s">
        <v>20</v>
      </c>
      <c r="B22" s="7" t="str">
        <f t="shared" si="8"/>
        <v>21</v>
      </c>
      <c r="C22" s="7" t="str">
        <f>B22&amp;IF(OR(MOD(B22,100)={11,12,13}),"th",CHOOSE(MIN(5,RIGHT(B22)+1),"th","st","nd","rd","th"))</f>
        <v>21st</v>
      </c>
      <c r="D22" s="2">
        <v>1</v>
      </c>
      <c r="E22" s="2">
        <v>3</v>
      </c>
      <c r="F22" s="2" t="str">
        <f t="shared" si="2"/>
        <v>21st(</v>
      </c>
      <c r="G22" s="2" t="str">
        <f t="shared" si="0"/>
        <v>21st(日曜 カナ</v>
      </c>
      <c r="H22" s="2">
        <v>6</v>
      </c>
      <c r="I22" s="2">
        <v>1</v>
      </c>
      <c r="J22" s="2">
        <v>2</v>
      </c>
      <c r="K22" s="2" t="str">
        <f t="shared" si="9"/>
        <v>日</v>
      </c>
      <c r="L22" s="2" t="s">
        <v>42</v>
      </c>
      <c r="M22" s="2" t="str">
        <f t="shared" si="4"/>
        <v>Sun</v>
      </c>
      <c r="N22" s="2" t="s">
        <v>37</v>
      </c>
      <c r="O22" s="2" t="str">
        <f t="shared" si="5"/>
        <v>21st(Sun)&lt;/td&gt;&lt;td&gt; カナ</v>
      </c>
      <c r="P22" s="2" t="str">
        <f t="shared" si="6"/>
        <v>&lt;tr class='weekend'&gt;&lt;td&gt;21st(Sun)&lt;/td&gt;&lt;td&gt; カナ</v>
      </c>
      <c r="Q22" s="6" t="str">
        <f t="shared" si="7"/>
        <v>&lt;tr class='weekend'&gt;&lt;td&gt;21st(Sun)&lt;/td&gt;&lt;td&gt; カナ&lt;span class='event_font'&gt;&amp;nbsp&amp;nbspHalf Hourly Charge!&lt;/span&gt;&lt;/td&gt;&lt;/tr&gt;</v>
      </c>
      <c r="R22" t="s">
        <v>69</v>
      </c>
    </row>
    <row r="23" spans="1:18" x14ac:dyDescent="0.2">
      <c r="A23" t="s">
        <v>21</v>
      </c>
      <c r="B23" s="7" t="str">
        <f t="shared" si="8"/>
        <v>22</v>
      </c>
      <c r="C23" s="7" t="str">
        <f>B23&amp;IF(OR(MOD(B23,100)={11,12,13}),"th",CHOOSE(MIN(5,RIGHT(B23)+1),"th","st","nd","rd","th"))</f>
        <v>22nd</v>
      </c>
      <c r="D23" s="2">
        <v>1</v>
      </c>
      <c r="E23" s="2">
        <v>3</v>
      </c>
      <c r="F23" s="2" t="str">
        <f t="shared" si="2"/>
        <v>22nd(</v>
      </c>
      <c r="G23" s="2" t="str">
        <f t="shared" si="0"/>
        <v>22nd(月曜 柘榴</v>
      </c>
      <c r="H23" s="2">
        <v>6</v>
      </c>
      <c r="I23" s="2">
        <v>1</v>
      </c>
      <c r="J23" s="2">
        <v>2</v>
      </c>
      <c r="K23" s="2" t="str">
        <f t="shared" si="9"/>
        <v>月</v>
      </c>
      <c r="L23" s="2" t="s">
        <v>42</v>
      </c>
      <c r="M23" s="2" t="str">
        <f t="shared" si="4"/>
        <v>Mon</v>
      </c>
      <c r="N23" s="2" t="s">
        <v>37</v>
      </c>
      <c r="O23" s="2" t="str">
        <f t="shared" si="5"/>
        <v>22nd(Mon)&lt;/td&gt;&lt;td&gt; 柘榴</v>
      </c>
      <c r="P23" s="2" t="str">
        <f t="shared" si="6"/>
        <v>&lt;tr&gt;&lt;td&gt;22nd(Mon)&lt;/td&gt;&lt;td&gt; 柘榴</v>
      </c>
      <c r="Q23" s="6" t="str">
        <f t="shared" si="7"/>
        <v>&lt;tr&gt;&lt;td&gt;22nd(Mon)&lt;/td&gt;&lt;td&gt; 柘榴&lt;/td&gt;&lt;/tr&gt;</v>
      </c>
      <c r="R23" t="s">
        <v>56</v>
      </c>
    </row>
    <row r="24" spans="1:18" x14ac:dyDescent="0.2">
      <c r="A24" t="s">
        <v>22</v>
      </c>
      <c r="B24" s="7" t="str">
        <f t="shared" si="8"/>
        <v>23</v>
      </c>
      <c r="C24" s="7" t="str">
        <f>B24&amp;IF(OR(MOD(B24,100)={11,12,13}),"th",CHOOSE(MIN(5,RIGHT(B24)+1),"th","st","nd","rd","th"))</f>
        <v>23rd</v>
      </c>
      <c r="D24" s="2">
        <v>1</v>
      </c>
      <c r="E24" s="2">
        <v>3</v>
      </c>
      <c r="F24" s="2" t="str">
        <f t="shared" si="2"/>
        <v>23rd(</v>
      </c>
      <c r="G24" s="2" t="str">
        <f t="shared" si="0"/>
        <v>23rd(火曜 カーマ</v>
      </c>
      <c r="H24" s="2">
        <v>6</v>
      </c>
      <c r="I24" s="2">
        <v>1</v>
      </c>
      <c r="J24" s="2">
        <v>2</v>
      </c>
      <c r="K24" s="2" t="str">
        <f t="shared" si="9"/>
        <v>火</v>
      </c>
      <c r="L24" s="2" t="s">
        <v>42</v>
      </c>
      <c r="M24" s="2" t="str">
        <f t="shared" si="4"/>
        <v>Tue</v>
      </c>
      <c r="N24" s="2" t="s">
        <v>37</v>
      </c>
      <c r="O24" s="2" t="str">
        <f t="shared" si="5"/>
        <v>23rd(Tue)&lt;/td&gt;&lt;td&gt; カーマ</v>
      </c>
      <c r="P24" s="2" t="str">
        <f t="shared" si="6"/>
        <v>&lt;tr&gt;&lt;td&gt;23rd(Tue)&lt;/td&gt;&lt;td&gt; カーマ</v>
      </c>
      <c r="Q24" s="6" t="str">
        <f t="shared" si="7"/>
        <v>&lt;tr&gt;&lt;td&gt;23rd(Tue)&lt;/td&gt;&lt;td&gt; カーマ&lt;/td&gt;&lt;/tr&gt;</v>
      </c>
      <c r="R24" t="s">
        <v>57</v>
      </c>
    </row>
    <row r="25" spans="1:18" x14ac:dyDescent="0.2">
      <c r="A25" t="s">
        <v>23</v>
      </c>
      <c r="B25" s="7" t="str">
        <f t="shared" si="8"/>
        <v>24</v>
      </c>
      <c r="C25" s="7" t="str">
        <f>B25&amp;IF(OR(MOD(B25,100)={11,12,13}),"th",CHOOSE(MIN(5,RIGHT(B25)+1),"th","st","nd","rd","th"))</f>
        <v>24th</v>
      </c>
      <c r="D25" s="2">
        <v>1</v>
      </c>
      <c r="E25" s="2">
        <v>3</v>
      </c>
      <c r="F25" s="2" t="str">
        <f t="shared" si="2"/>
        <v>24th(</v>
      </c>
      <c r="G25" s="2" t="str">
        <f t="shared" si="0"/>
        <v>24th(水曜 柘榴</v>
      </c>
      <c r="H25" s="2">
        <v>6</v>
      </c>
      <c r="I25" s="2">
        <v>1</v>
      </c>
      <c r="J25" s="2">
        <v>2</v>
      </c>
      <c r="K25" s="2" t="str">
        <f t="shared" si="9"/>
        <v>水</v>
      </c>
      <c r="L25" s="2" t="s">
        <v>42</v>
      </c>
      <c r="M25" s="2" t="str">
        <f t="shared" si="4"/>
        <v>Wed</v>
      </c>
      <c r="N25" s="2" t="s">
        <v>37</v>
      </c>
      <c r="O25" s="2" t="str">
        <f t="shared" si="5"/>
        <v>24th(Wed)&lt;/td&gt;&lt;td&gt; 柘榴</v>
      </c>
      <c r="P25" s="2" t="str">
        <f t="shared" si="6"/>
        <v>&lt;tr&gt;&lt;td&gt;24th(Wed)&lt;/td&gt;&lt;td&gt; 柘榴</v>
      </c>
      <c r="Q25" s="6" t="str">
        <f t="shared" si="7"/>
        <v>&lt;tr&gt;&lt;td&gt;24th(Wed)&lt;/td&gt;&lt;td&gt; 柘榴&lt;/td&gt;&lt;/tr&gt;</v>
      </c>
      <c r="R25" t="s">
        <v>58</v>
      </c>
    </row>
    <row r="26" spans="1:18" x14ac:dyDescent="0.2">
      <c r="A26" t="s">
        <v>24</v>
      </c>
      <c r="B26" s="7" t="str">
        <f t="shared" si="8"/>
        <v>25</v>
      </c>
      <c r="C26" s="7" t="str">
        <f>B26&amp;IF(OR(MOD(B26,100)={11,12,13}),"th",CHOOSE(MIN(5,RIGHT(B26)+1),"th","st","nd","rd","th"))</f>
        <v>25th</v>
      </c>
      <c r="D26" s="2">
        <v>1</v>
      </c>
      <c r="E26" s="2">
        <v>3</v>
      </c>
      <c r="F26" s="2" t="str">
        <f t="shared" si="2"/>
        <v>25th(</v>
      </c>
      <c r="G26" s="2" t="str">
        <f t="shared" si="0"/>
        <v>25th(木曜 イリヤ</v>
      </c>
      <c r="H26" s="2">
        <v>6</v>
      </c>
      <c r="I26" s="2">
        <v>1</v>
      </c>
      <c r="J26" s="2">
        <v>2</v>
      </c>
      <c r="K26" s="2" t="str">
        <f t="shared" si="9"/>
        <v>木</v>
      </c>
      <c r="L26" s="2" t="s">
        <v>42</v>
      </c>
      <c r="M26" s="2" t="str">
        <f t="shared" si="4"/>
        <v>Thu</v>
      </c>
      <c r="N26" s="2" t="s">
        <v>37</v>
      </c>
      <c r="O26" s="2" t="str">
        <f t="shared" si="5"/>
        <v>25th(Thu)&lt;/td&gt;&lt;td&gt; イリヤ</v>
      </c>
      <c r="P26" s="2" t="str">
        <f t="shared" si="6"/>
        <v>&lt;tr&gt;&lt;td&gt;25th(Thu)&lt;/td&gt;&lt;td&gt; イリヤ</v>
      </c>
      <c r="Q26" s="6" t="str">
        <f t="shared" si="7"/>
        <v>&lt;tr&gt;&lt;td&gt;25th(Thu)&lt;/td&gt;&lt;td&gt; イリヤ&lt;/td&gt;&lt;/tr&gt;</v>
      </c>
      <c r="R26" t="s">
        <v>59</v>
      </c>
    </row>
    <row r="27" spans="1:18" x14ac:dyDescent="0.2">
      <c r="A27" t="s">
        <v>25</v>
      </c>
      <c r="B27" s="7" t="str">
        <f t="shared" si="8"/>
        <v>26</v>
      </c>
      <c r="C27" s="7" t="str">
        <f>B27&amp;IF(OR(MOD(B27,100)={11,12,13}),"th",CHOOSE(MIN(5,RIGHT(B27)+1),"th","st","nd","rd","th"))</f>
        <v>26th</v>
      </c>
      <c r="D27" s="2">
        <v>1</v>
      </c>
      <c r="E27" s="2">
        <v>3</v>
      </c>
      <c r="F27" s="2" t="str">
        <f t="shared" si="2"/>
        <v>26th(</v>
      </c>
      <c r="G27" s="2" t="str">
        <f t="shared" si="0"/>
        <v>26th(金曜 美咲</v>
      </c>
      <c r="H27" s="2">
        <v>6</v>
      </c>
      <c r="I27" s="2">
        <v>1</v>
      </c>
      <c r="J27" s="2">
        <v>2</v>
      </c>
      <c r="K27" s="2" t="str">
        <f t="shared" si="9"/>
        <v>金</v>
      </c>
      <c r="L27" s="2" t="s">
        <v>42</v>
      </c>
      <c r="M27" s="2" t="str">
        <f t="shared" si="4"/>
        <v>Fri</v>
      </c>
      <c r="N27" s="2" t="s">
        <v>37</v>
      </c>
      <c r="O27" s="2" t="str">
        <f t="shared" si="5"/>
        <v>26th(Fri)&lt;/td&gt;&lt;td&gt; 美咲</v>
      </c>
      <c r="P27" s="2" t="str">
        <f t="shared" si="6"/>
        <v>&lt;tr&gt;&lt;td&gt;26th(Fri)&lt;/td&gt;&lt;td&gt; 美咲</v>
      </c>
      <c r="Q27" s="6" t="str">
        <f t="shared" si="7"/>
        <v>&lt;tr&gt;&lt;td&gt;26th(Fri)&lt;/td&gt;&lt;td&gt; 美咲&lt;/td&gt;&lt;/tr&gt;</v>
      </c>
      <c r="R27" t="s">
        <v>60</v>
      </c>
    </row>
    <row r="28" spans="1:18" x14ac:dyDescent="0.2">
      <c r="A28" t="s">
        <v>26</v>
      </c>
      <c r="B28" s="7" t="str">
        <f t="shared" si="8"/>
        <v>27</v>
      </c>
      <c r="C28" s="7" t="str">
        <f>B28&amp;IF(OR(MOD(B28,100)={11,12,13}),"th",CHOOSE(MIN(5,RIGHT(B28)+1),"th","st","nd","rd","th"))</f>
        <v>27th</v>
      </c>
      <c r="D28" s="2">
        <v>1</v>
      </c>
      <c r="E28" s="2">
        <v>3</v>
      </c>
      <c r="F28" s="2" t="str">
        <f t="shared" si="2"/>
        <v>27th(</v>
      </c>
      <c r="G28" s="2" t="str">
        <f t="shared" si="0"/>
        <v>27th(土曜 柘榴バースデー、柘榴、美咲、イリヤ</v>
      </c>
      <c r="H28" s="2">
        <v>6</v>
      </c>
      <c r="I28" s="2">
        <v>1</v>
      </c>
      <c r="J28" s="2">
        <v>2</v>
      </c>
      <c r="K28" s="2" t="str">
        <f t="shared" si="9"/>
        <v>土</v>
      </c>
      <c r="L28" s="2" t="s">
        <v>42</v>
      </c>
      <c r="M28" s="2" t="str">
        <f t="shared" si="4"/>
        <v>Sat</v>
      </c>
      <c r="N28" s="2" t="s">
        <v>37</v>
      </c>
      <c r="O28" s="2" t="str">
        <f t="shared" si="5"/>
        <v>27th(Sat)&lt;/td&gt;&lt;td&gt; 柘榴バースデー、柘榴、美咲、イリヤ</v>
      </c>
      <c r="P28" s="2" t="str">
        <f t="shared" si="6"/>
        <v>&lt;tr class='weekend'&gt;&lt;td&gt;27th(Sat)&lt;/td&gt;&lt;td&gt; 柘榴バースデー、柘榴、美咲、イリヤ</v>
      </c>
      <c r="Q28" s="6" t="str">
        <f t="shared" si="7"/>
        <v>&lt;tr class='weekend'&gt;&lt;td&gt;27th(Sat)&lt;/td&gt;&lt;td&gt; 柘榴バースデー、柘榴、美咲、イリヤ&lt;/td&gt;&lt;/tr&gt;</v>
      </c>
      <c r="R28" t="s">
        <v>74</v>
      </c>
    </row>
    <row r="29" spans="1:18" x14ac:dyDescent="0.2">
      <c r="A29" t="s">
        <v>27</v>
      </c>
      <c r="B29" s="7" t="str">
        <f t="shared" si="8"/>
        <v>28</v>
      </c>
      <c r="C29" s="7" t="str">
        <f>B29&amp;IF(OR(MOD(B29,100)={11,12,13}),"th",CHOOSE(MIN(5,RIGHT(B29)+1),"th","st","nd","rd","th"))</f>
        <v>28th</v>
      </c>
      <c r="D29" s="2">
        <v>1</v>
      </c>
      <c r="E29" s="2">
        <v>3</v>
      </c>
      <c r="F29" s="2" t="str">
        <f t="shared" si="2"/>
        <v>28th(</v>
      </c>
      <c r="G29" s="2" t="str">
        <f t="shared" si="0"/>
        <v>28th(日曜 柘榴</v>
      </c>
      <c r="H29" s="2">
        <v>6</v>
      </c>
      <c r="I29" s="2">
        <v>1</v>
      </c>
      <c r="J29" s="2">
        <v>2</v>
      </c>
      <c r="K29" s="2" t="str">
        <f t="shared" si="9"/>
        <v>日</v>
      </c>
      <c r="L29" s="2" t="s">
        <v>42</v>
      </c>
      <c r="M29" s="2" t="str">
        <f t="shared" si="4"/>
        <v>Sun</v>
      </c>
      <c r="N29" s="2" t="s">
        <v>37</v>
      </c>
      <c r="O29" s="2" t="str">
        <f t="shared" si="5"/>
        <v>28th(Sun)&lt;/td&gt;&lt;td&gt; 柘榴</v>
      </c>
      <c r="P29" s="2" t="str">
        <f t="shared" si="6"/>
        <v>&lt;tr class='weekend'&gt;&lt;td&gt;28th(Sun)&lt;/td&gt;&lt;td&gt; 柘榴</v>
      </c>
      <c r="Q29" s="6" t="str">
        <f t="shared" si="7"/>
        <v>&lt;tr class='weekend'&gt;&lt;td&gt;28th(Sun)&lt;/td&gt;&lt;td&gt; 柘榴&lt;span class='event_font'&gt;&amp;nbsp&amp;nbspHalf Hourly Charge!&lt;/span&gt;&lt;/td&gt;&lt;/tr&gt;</v>
      </c>
      <c r="R29" t="s">
        <v>70</v>
      </c>
    </row>
    <row r="30" spans="1:18" x14ac:dyDescent="0.2">
      <c r="A30" t="s">
        <v>28</v>
      </c>
      <c r="B30" s="7" t="str">
        <f t="shared" si="8"/>
        <v>29</v>
      </c>
      <c r="C30" s="7" t="str">
        <f>B30&amp;IF(OR(MOD(B30,100)={11,12,13}),"th",CHOOSE(MIN(5,RIGHT(B30)+1),"th","st","nd","rd","th"))</f>
        <v>29th</v>
      </c>
      <c r="D30" s="2">
        <v>1</v>
      </c>
      <c r="E30" s="2">
        <v>3</v>
      </c>
      <c r="F30" s="2" t="str">
        <f t="shared" si="2"/>
        <v>29th(</v>
      </c>
      <c r="G30" s="2" t="str">
        <f t="shared" si="0"/>
        <v>29th(月曜 休み</v>
      </c>
      <c r="H30" s="2">
        <v>6</v>
      </c>
      <c r="I30" s="2">
        <v>1</v>
      </c>
      <c r="J30" s="2">
        <v>2</v>
      </c>
      <c r="K30" s="2" t="str">
        <f t="shared" si="9"/>
        <v>月</v>
      </c>
      <c r="L30" s="2" t="s">
        <v>42</v>
      </c>
      <c r="M30" s="2" t="str">
        <f t="shared" si="4"/>
        <v>Mon</v>
      </c>
      <c r="N30" s="2" t="s">
        <v>37</v>
      </c>
      <c r="O30" s="2" t="str">
        <f t="shared" si="5"/>
        <v>29th(Mon)&lt;/td&gt;&lt;td&gt; 休み</v>
      </c>
      <c r="P30" s="2" t="str">
        <f t="shared" si="6"/>
        <v>&lt;tr&gt;&lt;td&gt;29th(Mon)&lt;/td&gt;&lt;td&gt; 休み</v>
      </c>
      <c r="Q30" s="6" t="str">
        <f t="shared" si="7"/>
        <v>&lt;tr&gt;&lt;td&gt;29th(Mon)&lt;/td&gt;&lt;td&gt; 休み&lt;/td&gt;&lt;/tr&gt;</v>
      </c>
      <c r="R30" t="s">
        <v>72</v>
      </c>
    </row>
    <row r="31" spans="1:18" x14ac:dyDescent="0.2">
      <c r="A31" t="s">
        <v>29</v>
      </c>
      <c r="B31" s="7" t="str">
        <f t="shared" si="8"/>
        <v>30</v>
      </c>
      <c r="C31" s="7" t="str">
        <f>B31&amp;IF(OR(MOD(B31,100)={11,12,13}),"th",CHOOSE(MIN(5,RIGHT(B31)+1),"th","st","nd","rd","th"))</f>
        <v>30th</v>
      </c>
      <c r="D31" s="2">
        <v>1</v>
      </c>
      <c r="E31" s="2">
        <v>3</v>
      </c>
      <c r="F31" s="2" t="str">
        <f t="shared" si="2"/>
        <v>30th(</v>
      </c>
      <c r="G31" s="2" t="str">
        <f t="shared" si="0"/>
        <v>30th(火曜 カーマ</v>
      </c>
      <c r="H31" s="2">
        <v>6</v>
      </c>
      <c r="I31" s="2">
        <v>1</v>
      </c>
      <c r="J31" s="2">
        <v>2</v>
      </c>
      <c r="K31" s="2" t="str">
        <f t="shared" si="9"/>
        <v>火</v>
      </c>
      <c r="L31" s="2" t="s">
        <v>42</v>
      </c>
      <c r="M31" s="2" t="str">
        <f t="shared" si="4"/>
        <v>Tue</v>
      </c>
      <c r="N31" s="2" t="s">
        <v>37</v>
      </c>
      <c r="O31" s="2" t="str">
        <f t="shared" si="5"/>
        <v>30th(Tue)&lt;/td&gt;&lt;td&gt; カーマ</v>
      </c>
      <c r="P31" s="2" t="str">
        <f t="shared" si="6"/>
        <v>&lt;tr&gt;&lt;td&gt;30th(Tue)&lt;/td&gt;&lt;td&gt; カーマ</v>
      </c>
      <c r="Q31" s="6" t="str">
        <f t="shared" si="7"/>
        <v>&lt;tr&gt;&lt;td&gt;30th(Tue)&lt;/td&gt;&lt;td&gt; カーマ&lt;/td&gt;&lt;/tr&gt;</v>
      </c>
      <c r="R31" t="s">
        <v>61</v>
      </c>
    </row>
    <row r="32" spans="1:18" x14ac:dyDescent="0.2">
      <c r="A32" t="s">
        <v>30</v>
      </c>
      <c r="B32" s="7" t="str">
        <f t="shared" si="8"/>
        <v>31</v>
      </c>
      <c r="C32" s="7" t="str">
        <f>B32&amp;IF(OR(MOD(B32,100)={11,12,13}),"th",CHOOSE(MIN(5,RIGHT(B32)+1),"th","st","nd","rd","th"))</f>
        <v>31st</v>
      </c>
      <c r="D32" s="2">
        <v>1</v>
      </c>
      <c r="E32" s="2">
        <v>3</v>
      </c>
      <c r="F32" s="2" t="str">
        <f t="shared" si="2"/>
        <v>31st(</v>
      </c>
      <c r="G32" s="2" t="str">
        <f t="shared" si="0"/>
        <v>31st(水曜 カナ</v>
      </c>
      <c r="H32" s="2">
        <v>6</v>
      </c>
      <c r="I32" s="2">
        <v>1</v>
      </c>
      <c r="J32" s="2">
        <v>2</v>
      </c>
      <c r="K32" s="2" t="str">
        <f t="shared" si="9"/>
        <v>水</v>
      </c>
      <c r="L32" s="2" t="s">
        <v>42</v>
      </c>
      <c r="M32" s="2" t="str">
        <f t="shared" si="4"/>
        <v>Wed</v>
      </c>
      <c r="N32" s="2" t="s">
        <v>37</v>
      </c>
      <c r="O32" s="2" t="str">
        <f t="shared" si="5"/>
        <v>31st(Wed)&lt;/td&gt;&lt;td&gt; カナ</v>
      </c>
      <c r="P32" s="2" t="str">
        <f t="shared" si="6"/>
        <v>&lt;tr&gt;&lt;td&gt;31st(Wed)&lt;/td&gt;&lt;td&gt; カナ</v>
      </c>
      <c r="Q32" s="6" t="str">
        <f t="shared" si="7"/>
        <v>&lt;tr&gt;&lt;td&gt;31st(Wed)&lt;/td&gt;&lt;td&gt; カナ&lt;/td&gt;&lt;/tr&gt;</v>
      </c>
      <c r="R32" t="s">
        <v>62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</vt:lpstr>
      <vt:lpstr>20190901</vt:lpstr>
      <vt:lpstr>Sheet3</vt:lpstr>
      <vt:lpstr>Sheet2</vt:lpstr>
      <vt:lpstr>20210918</vt:lpstr>
      <vt:lpstr>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</dc:creator>
  <cp:lastModifiedBy>山路祐一郎</cp:lastModifiedBy>
  <dcterms:created xsi:type="dcterms:W3CDTF">2018-08-30T13:38:16Z</dcterms:created>
  <dcterms:modified xsi:type="dcterms:W3CDTF">2021-11-02T11:58:34Z</dcterms:modified>
</cp:coreProperties>
</file>